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AC29DCE-A8EF-4B2A-A4B8-CBC91DCDC30F}" xr6:coauthVersionLast="38" xr6:coauthVersionMax="38" xr10:uidLastSave="{00000000-0000-0000-0000-000000000000}"/>
  <bookViews>
    <workbookView xWindow="0" yWindow="0" windowWidth="20490" windowHeight="7425" xr2:uid="{FC880A99-27C3-4C08-94E7-0E173227810E}"/>
  </bookViews>
  <sheets>
    <sheet name="Sheet1" sheetId="1" r:id="rId1"/>
  </sheets>
  <externalReferences>
    <externalReference r:id="rId2"/>
  </externalReferenc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5" i="1" l="1"/>
  <c r="D99" i="1"/>
  <c r="I96" i="1"/>
  <c r="D90" i="1"/>
  <c r="C83" i="1"/>
  <c r="C81" i="1"/>
  <c r="E78" i="1"/>
  <c r="C78" i="1"/>
  <c r="D73" i="1"/>
  <c r="C73" i="1"/>
  <c r="P31" i="1"/>
  <c r="M31" i="1"/>
  <c r="L31" i="1"/>
  <c r="G31" i="1"/>
  <c r="H31" i="1" s="1"/>
  <c r="P30" i="1"/>
  <c r="M30" i="1"/>
  <c r="L30" i="1"/>
  <c r="H30" i="1"/>
  <c r="G30" i="1"/>
  <c r="P29" i="1"/>
  <c r="M29" i="1"/>
  <c r="L29" i="1"/>
  <c r="G29" i="1"/>
  <c r="H29" i="1" s="1"/>
  <c r="P28" i="1"/>
  <c r="M28" i="1"/>
  <c r="L28" i="1"/>
  <c r="H28" i="1"/>
  <c r="G28" i="1"/>
  <c r="P27" i="1"/>
  <c r="M27" i="1"/>
  <c r="L27" i="1"/>
  <c r="G27" i="1"/>
  <c r="H27" i="1" s="1"/>
  <c r="P26" i="1"/>
  <c r="M26" i="1"/>
  <c r="L26" i="1"/>
  <c r="G26" i="1"/>
  <c r="H26" i="1" s="1"/>
  <c r="P25" i="1"/>
  <c r="P32" i="1" s="1"/>
  <c r="M25" i="1"/>
  <c r="L25" i="1"/>
  <c r="L32" i="1" s="1"/>
  <c r="P33" i="1" s="1"/>
  <c r="H25" i="1"/>
  <c r="G25" i="1"/>
  <c r="P24" i="1"/>
  <c r="M24" i="1"/>
  <c r="L24" i="1"/>
  <c r="G24" i="1"/>
  <c r="H24" i="1" s="1"/>
  <c r="H32" i="1" s="1"/>
  <c r="E81" i="1" s="1"/>
  <c r="H23" i="1"/>
  <c r="G23" i="1"/>
  <c r="H22" i="1"/>
  <c r="G22" i="1"/>
  <c r="M16" i="1"/>
  <c r="H16" i="1"/>
  <c r="M15" i="1"/>
  <c r="H15" i="1"/>
  <c r="M14" i="1"/>
  <c r="H14" i="1"/>
  <c r="M13" i="1"/>
  <c r="H13" i="1"/>
  <c r="M12" i="1"/>
  <c r="H12" i="1"/>
  <c r="M11" i="1"/>
  <c r="H11" i="1"/>
  <c r="M10" i="1"/>
  <c r="H10" i="1"/>
  <c r="M9" i="1"/>
  <c r="H9" i="1"/>
  <c r="M8" i="1"/>
  <c r="H8" i="1"/>
  <c r="M7" i="1"/>
  <c r="H7" i="1"/>
  <c r="H6" i="1"/>
  <c r="E83" i="1" l="1"/>
  <c r="D87" i="1" l="1"/>
  <c r="D86" i="1"/>
  <c r="D85" i="1"/>
</calcChain>
</file>

<file path=xl/sharedStrings.xml><?xml version="1.0" encoding="utf-8"?>
<sst xmlns="http://schemas.openxmlformats.org/spreadsheetml/2006/main" count="72" uniqueCount="48">
  <si>
    <t>CASH BOOK/DAY BOOK</t>
  </si>
  <si>
    <t>NO.</t>
  </si>
  <si>
    <t>RECEIPT</t>
  </si>
  <si>
    <t>PAYMENT</t>
  </si>
  <si>
    <t>Column1</t>
  </si>
  <si>
    <t>LOCKER</t>
  </si>
  <si>
    <t>LOOSE</t>
  </si>
  <si>
    <t>RS</t>
  </si>
  <si>
    <t>NO</t>
  </si>
  <si>
    <t>TOTAL</t>
  </si>
  <si>
    <t xml:space="preserve"> </t>
  </si>
  <si>
    <t>COINS</t>
  </si>
  <si>
    <t>Column2</t>
  </si>
  <si>
    <t>Column3</t>
  </si>
  <si>
    <t>Column4</t>
  </si>
  <si>
    <t xml:space="preserve">   </t>
  </si>
  <si>
    <t xml:space="preserve">                              </t>
  </si>
  <si>
    <t>C</t>
  </si>
  <si>
    <t>TOTAL CASH</t>
  </si>
  <si>
    <t>DEPOSIT</t>
  </si>
  <si>
    <t>WITHDRAWAL</t>
  </si>
  <si>
    <t>NET</t>
  </si>
  <si>
    <t>LKR NOTE</t>
  </si>
  <si>
    <t>DEPOSIT LOCKER</t>
  </si>
  <si>
    <t>NET AMOUNT</t>
  </si>
  <si>
    <t>.</t>
  </si>
  <si>
    <t>OPENING BALANCE</t>
  </si>
  <si>
    <t xml:space="preserve">                                                                                                          </t>
  </si>
  <si>
    <t>SYSTM TOTAL</t>
  </si>
  <si>
    <t>DIFFERENCE</t>
  </si>
  <si>
    <t>SPECIAL NOTE</t>
  </si>
  <si>
    <t>SHOT</t>
  </si>
  <si>
    <t>SYSTM CLSNG</t>
  </si>
  <si>
    <t>CLOSING BAL</t>
  </si>
  <si>
    <t>LOOSE+LOCKER</t>
  </si>
  <si>
    <t xml:space="preserve">TEA&amp;SNACKS </t>
  </si>
  <si>
    <t>SHAMLA</t>
  </si>
  <si>
    <t xml:space="preserve">TEA </t>
  </si>
  <si>
    <t>SAOUDHA</t>
  </si>
  <si>
    <t>SHAJLA</t>
  </si>
  <si>
    <t>ABI</t>
  </si>
  <si>
    <t>IHSAN</t>
  </si>
  <si>
    <t>HANI</t>
  </si>
  <si>
    <t>ZAHIR</t>
  </si>
  <si>
    <t>SHORT AMOUNTS</t>
  </si>
  <si>
    <t xml:space="preserve">OTHER </t>
  </si>
  <si>
    <t>JASAR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</si>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</sst>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_ * #,##0.000_ ;_ * \-#,##0.000_ ;_ * &quot;-&quot;???_ ;_ @_ 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rgb="FFFF0000"/>
      <name val="Times New Roman"/>
      <family val="1"/>
    </font>
    <font>
      <b/>
      <sz val="14"/>
      <name val="Times New Roman"/>
      <family val="1"/>
    </font>
    <font>
      <b/>
      <sz val="10"/>
      <color rgb="FF333333"/>
      <name val="Times New Roman"/>
      <family val="1"/>
    </font>
    <font>
      <b/>
      <sz val="14"/>
      <color theme="0"/>
      <name val="Times New Roman"/>
      <family val="1"/>
    </font>
    <font>
      <u/>
      <sz val="14"/>
      <color rgb="FFFF0000"/>
      <name val="Times New Roman"/>
      <family val="1"/>
    </font>
    <font>
      <b/>
      <sz val="10"/>
      <color rgb="FF757575"/>
      <name val="Arial"/>
      <family val="2"/>
    </font>
    <font>
      <b/>
      <sz val="14"/>
      <color rgb="FFFF0000"/>
      <name val="Times New Roman"/>
      <family val="1"/>
    </font>
    <font>
      <sz val="10"/>
      <color rgb="FF757575"/>
      <name val="Arial"/>
      <family val="2"/>
    </font>
    <font>
      <strike/>
      <sz val="14"/>
      <color theme="1"/>
      <name val="Times New Roman"/>
      <family val="1"/>
    </font>
    <font>
      <b/>
      <sz val="14"/>
      <color rgb="FF333333"/>
      <name val="Times New Roman"/>
      <family val="1"/>
    </font>
    <font>
      <b/>
      <sz val="18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rgb="FF333333"/>
      <name val="Arial"/>
      <family val="2"/>
    </font>
    <font>
      <b/>
      <sz val="12"/>
      <color theme="1"/>
      <name val="Times New Roman"/>
      <family val="1"/>
    </font>
    <font>
      <sz val="14"/>
      <color theme="0"/>
      <name val="Times New Roman"/>
      <family val="1"/>
    </font>
    <font>
      <sz val="18"/>
      <color rgb="FFFFFFFF"/>
      <name val="Arial"/>
      <family val="2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Sylfaen"/>
      <family val="1"/>
    </font>
    <font>
      <b/>
      <sz val="12"/>
      <color theme="1"/>
      <name val="Sylfaen"/>
      <family val="1"/>
    </font>
    <font>
      <b/>
      <sz val="28"/>
      <color theme="1"/>
      <name val="Times New Roman"/>
      <family val="1"/>
    </font>
    <font>
      <sz val="14"/>
      <color rgb="FF00B050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D4D4D4"/>
      </right>
      <top style="medium">
        <color rgb="FFD4D4D4"/>
      </top>
      <bottom/>
      <diagonal/>
    </border>
    <border>
      <left/>
      <right/>
      <top style="medium">
        <color rgb="FFD4D4D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4" tint="0.3999755851924192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rgb="FFD4D4D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6">
    <xf numFmtId="0" fontId="0" fillId="0" borderId="0" xfId="0"/>
    <xf numFmtId="0" fontId="2" fillId="0" borderId="0" xfId="0" applyFont="1"/>
    <xf numFmtId="0" fontId="2" fillId="0" borderId="0" xfId="0" applyFont="1" applyFill="1" applyBorder="1"/>
    <xf numFmtId="0" fontId="3" fillId="2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0" applyNumberFormat="1" applyFont="1" applyFill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Protection="1"/>
    <xf numFmtId="0" fontId="2" fillId="0" borderId="1" xfId="0" applyFont="1" applyBorder="1" applyAlignment="1">
      <alignment horizontal="left"/>
    </xf>
    <xf numFmtId="164" fontId="2" fillId="0" borderId="1" xfId="1" applyNumberFormat="1" applyFont="1" applyFill="1" applyBorder="1"/>
    <xf numFmtId="0" fontId="2" fillId="0" borderId="0" xfId="0" applyFont="1" applyProtection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2" fillId="3" borderId="1" xfId="1" applyNumberFormat="1" applyFont="1" applyFill="1" applyBorder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Fill="1" applyBorder="1" applyAlignment="1" applyProtection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 applyProtection="1">
      <alignment horizontal="center" vertical="center"/>
    </xf>
    <xf numFmtId="0" fontId="3" fillId="0" borderId="0" xfId="0" applyFont="1" applyAlignment="1">
      <alignment horizontal="center"/>
    </xf>
    <xf numFmtId="164" fontId="4" fillId="3" borderId="1" xfId="1" applyNumberFormat="1" applyFont="1" applyFill="1" applyBorder="1"/>
    <xf numFmtId="164" fontId="2" fillId="4" borderId="1" xfId="1" applyNumberFormat="1" applyFont="1" applyFill="1" applyBorder="1"/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3" fontId="3" fillId="0" borderId="11" xfId="1" applyFont="1" applyBorder="1" applyAlignment="1" applyProtection="1">
      <alignment horizontal="center" vertical="center"/>
    </xf>
    <xf numFmtId="43" fontId="3" fillId="0" borderId="0" xfId="1" applyFont="1" applyFill="1" applyBorder="1" applyAlignment="1" applyProtection="1">
      <alignment horizontal="center" vertical="center"/>
    </xf>
    <xf numFmtId="0" fontId="2" fillId="0" borderId="11" xfId="0" applyFont="1" applyBorder="1" applyAlignment="1">
      <alignment horizontal="center" vertical="center"/>
    </xf>
    <xf numFmtId="43" fontId="3" fillId="0" borderId="12" xfId="1" applyFont="1" applyBorder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 applyProtection="1">
      <alignment horizontal="right"/>
    </xf>
    <xf numFmtId="0" fontId="3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 applyProtection="1">
      <alignment horizontal="center"/>
    </xf>
    <xf numFmtId="0" fontId="2" fillId="0" borderId="0" xfId="0" applyFont="1" applyFill="1" applyBorder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164" fontId="5" fillId="0" borderId="1" xfId="1" applyNumberFormat="1" applyFont="1" applyFill="1" applyBorder="1"/>
    <xf numFmtId="0" fontId="6" fillId="0" borderId="11" xfId="0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43" fontId="3" fillId="0" borderId="3" xfId="0" applyNumberFormat="1" applyFont="1" applyBorder="1" applyAlignment="1">
      <alignment horizontal="center" vertical="center"/>
    </xf>
    <xf numFmtId="0" fontId="2" fillId="0" borderId="18" xfId="0" applyFont="1" applyBorder="1" applyProtection="1"/>
    <xf numFmtId="43" fontId="3" fillId="0" borderId="19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" fontId="7" fillId="5" borderId="20" xfId="0" applyNumberFormat="1" applyFont="1" applyFill="1" applyBorder="1" applyAlignment="1">
      <alignment vertical="center" wrapText="1"/>
    </xf>
    <xf numFmtId="0" fontId="7" fillId="5" borderId="20" xfId="0" applyFont="1" applyFill="1" applyBorder="1" applyAlignment="1">
      <alignment vertical="center" wrapText="1"/>
    </xf>
    <xf numFmtId="4" fontId="7" fillId="5" borderId="21" xfId="0" applyNumberFormat="1" applyFont="1" applyFill="1" applyBorder="1" applyAlignment="1">
      <alignment vertical="center" wrapText="1"/>
    </xf>
    <xf numFmtId="4" fontId="7" fillId="0" borderId="0" xfId="0" applyNumberFormat="1" applyFont="1" applyFill="1" applyBorder="1" applyAlignment="1">
      <alignment vertical="center" wrapText="1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10" xfId="0" applyFont="1" applyBorder="1"/>
    <xf numFmtId="0" fontId="2" fillId="0" borderId="1" xfId="0" applyFont="1" applyBorder="1"/>
    <xf numFmtId="43" fontId="3" fillId="0" borderId="11" xfId="1" applyFont="1" applyBorder="1" applyProtection="1"/>
    <xf numFmtId="43" fontId="3" fillId="0" borderId="0" xfId="1" applyFont="1" applyFill="1" applyBorder="1" applyProtection="1"/>
    <xf numFmtId="0" fontId="2" fillId="6" borderId="22" xfId="0" applyFont="1" applyFill="1" applyBorder="1" applyAlignment="1">
      <alignment horizontal="center"/>
    </xf>
    <xf numFmtId="0" fontId="2" fillId="6" borderId="23" xfId="0" applyFont="1" applyFill="1" applyBorder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22" xfId="0" applyFont="1" applyFill="1" applyBorder="1" applyAlignment="1">
      <alignment horizontal="center"/>
    </xf>
    <xf numFmtId="0" fontId="2" fillId="7" borderId="23" xfId="0" applyFont="1" applyFill="1" applyBorder="1" applyAlignment="1">
      <alignment horizontal="center"/>
    </xf>
    <xf numFmtId="164" fontId="2" fillId="8" borderId="1" xfId="1" applyNumberFormat="1" applyFont="1" applyFill="1" applyBorder="1"/>
    <xf numFmtId="0" fontId="2" fillId="0" borderId="25" xfId="0" applyFont="1" applyBorder="1"/>
    <xf numFmtId="0" fontId="8" fillId="9" borderId="0" xfId="0" applyFont="1" applyFill="1" applyAlignment="1">
      <alignment horizontal="center"/>
    </xf>
    <xf numFmtId="164" fontId="2" fillId="0" borderId="1" xfId="1" applyNumberFormat="1" applyFont="1" applyBorder="1"/>
    <xf numFmtId="164" fontId="2" fillId="0" borderId="1" xfId="1" applyNumberFormat="1" applyFont="1" applyFill="1" applyBorder="1" applyProtection="1"/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164" fontId="4" fillId="8" borderId="1" xfId="1" applyNumberFormat="1" applyFont="1" applyFill="1" applyBorder="1"/>
    <xf numFmtId="0" fontId="3" fillId="0" borderId="0" xfId="0" applyFont="1"/>
    <xf numFmtId="164" fontId="4" fillId="0" borderId="1" xfId="1" applyNumberFormat="1" applyFont="1" applyBorder="1"/>
    <xf numFmtId="0" fontId="9" fillId="0" borderId="1" xfId="0" applyFont="1" applyBorder="1" applyAlignment="1">
      <alignment horizontal="center"/>
    </xf>
    <xf numFmtId="0" fontId="3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164" fontId="2" fillId="0" borderId="31" xfId="1" applyNumberFormat="1" applyFont="1" applyBorder="1"/>
    <xf numFmtId="0" fontId="2" fillId="0" borderId="13" xfId="0" applyFont="1" applyBorder="1"/>
    <xf numFmtId="43" fontId="3" fillId="0" borderId="15" xfId="1" applyFont="1" applyBorder="1" applyProtection="1"/>
    <xf numFmtId="0" fontId="2" fillId="0" borderId="32" xfId="0" applyFont="1" applyBorder="1"/>
    <xf numFmtId="0" fontId="3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/>
    <xf numFmtId="0" fontId="2" fillId="0" borderId="16" xfId="0" applyFont="1" applyBorder="1"/>
    <xf numFmtId="43" fontId="3" fillId="0" borderId="0" xfId="0" applyNumberFormat="1" applyFont="1"/>
    <xf numFmtId="43" fontId="3" fillId="0" borderId="0" xfId="0" applyNumberFormat="1" applyFont="1" applyFill="1" applyBorder="1"/>
    <xf numFmtId="0" fontId="2" fillId="11" borderId="36" xfId="0" applyFont="1" applyFill="1" applyBorder="1"/>
    <xf numFmtId="0" fontId="3" fillId="11" borderId="37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" fillId="7" borderId="16" xfId="0" applyFont="1" applyFill="1" applyBorder="1"/>
    <xf numFmtId="0" fontId="2" fillId="7" borderId="17" xfId="0" applyFont="1" applyFill="1" applyBorder="1"/>
    <xf numFmtId="0" fontId="3" fillId="0" borderId="34" xfId="0" applyFont="1" applyBorder="1" applyAlignment="1">
      <alignment horizontal="center" vertical="center"/>
    </xf>
    <xf numFmtId="4" fontId="10" fillId="0" borderId="0" xfId="0" applyNumberFormat="1" applyFont="1"/>
    <xf numFmtId="4" fontId="10" fillId="0" borderId="0" xfId="0" applyNumberFormat="1" applyFont="1" applyFill="1" applyBorder="1"/>
    <xf numFmtId="0" fontId="11" fillId="0" borderId="0" xfId="0" applyFont="1"/>
    <xf numFmtId="0" fontId="11" fillId="0" borderId="34" xfId="0" applyFont="1" applyBorder="1" applyAlignment="1">
      <alignment horizontal="center" vertical="center"/>
    </xf>
    <xf numFmtId="0" fontId="0" fillId="0" borderId="0" xfId="0" applyFill="1" applyBorder="1"/>
    <xf numFmtId="0" fontId="12" fillId="0" borderId="38" xfId="0" applyFont="1" applyBorder="1" applyAlignment="1">
      <alignment vertical="center"/>
    </xf>
    <xf numFmtId="4" fontId="12" fillId="0" borderId="0" xfId="0" applyNumberFormat="1" applyFont="1" applyBorder="1" applyAlignment="1">
      <alignment vertical="center"/>
    </xf>
    <xf numFmtId="4" fontId="12" fillId="0" borderId="0" xfId="0" applyNumberFormat="1" applyFont="1" applyFill="1" applyBorder="1" applyAlignment="1">
      <alignment vertical="center"/>
    </xf>
    <xf numFmtId="164" fontId="2" fillId="8" borderId="31" xfId="1" applyNumberFormat="1" applyFont="1" applyFill="1" applyBorder="1"/>
    <xf numFmtId="4" fontId="2" fillId="0" borderId="0" xfId="0" applyNumberFormat="1" applyFont="1"/>
    <xf numFmtId="0" fontId="12" fillId="0" borderId="1" xfId="0" applyFont="1" applyFill="1" applyBorder="1" applyAlignment="1">
      <alignment vertical="center" wrapText="1"/>
    </xf>
    <xf numFmtId="0" fontId="3" fillId="0" borderId="0" xfId="0" applyFont="1" applyAlignment="1">
      <alignment horizontal="right"/>
    </xf>
    <xf numFmtId="0" fontId="10" fillId="0" borderId="0" xfId="0" applyFont="1"/>
    <xf numFmtId="4" fontId="11" fillId="0" borderId="0" xfId="0" applyNumberFormat="1" applyFont="1"/>
    <xf numFmtId="4" fontId="11" fillId="0" borderId="0" xfId="0" applyNumberFormat="1" applyFont="1" applyFill="1" applyBorder="1"/>
    <xf numFmtId="4" fontId="2" fillId="0" borderId="0" xfId="0" applyNumberFormat="1" applyFont="1" applyFill="1" applyBorder="1"/>
    <xf numFmtId="4" fontId="3" fillId="0" borderId="0" xfId="0" applyNumberFormat="1" applyFont="1"/>
    <xf numFmtId="4" fontId="3" fillId="0" borderId="0" xfId="0" applyNumberFormat="1" applyFont="1" applyFill="1" applyBorder="1"/>
    <xf numFmtId="0" fontId="13" fillId="0" borderId="0" xfId="0" applyFont="1"/>
    <xf numFmtId="0" fontId="14" fillId="0" borderId="0" xfId="0" applyFont="1" applyAlignment="1">
      <alignment vertical="center" wrapText="1"/>
    </xf>
    <xf numFmtId="165" fontId="14" fillId="0" borderId="0" xfId="1" applyNumberFormat="1" applyFont="1" applyFill="1" applyBorder="1" applyAlignment="1" applyProtection="1">
      <alignment horizontal="right" vertical="center" wrapText="1"/>
    </xf>
    <xf numFmtId="0" fontId="15" fillId="0" borderId="0" xfId="0" applyFont="1"/>
    <xf numFmtId="0" fontId="5" fillId="0" borderId="0" xfId="0" applyFont="1"/>
    <xf numFmtId="165" fontId="2" fillId="0" borderId="0" xfId="0" applyNumberFormat="1" applyFont="1"/>
    <xf numFmtId="0" fontId="2" fillId="0" borderId="0" xfId="0" applyFont="1" applyAlignment="1" applyProtection="1">
      <alignment horizontal="right"/>
    </xf>
    <xf numFmtId="165" fontId="16" fillId="0" borderId="21" xfId="0" applyNumberFormat="1" applyFont="1" applyBorder="1" applyAlignment="1">
      <alignment vertical="center" wrapText="1"/>
    </xf>
    <xf numFmtId="166" fontId="2" fillId="0" borderId="0" xfId="0" applyNumberFormat="1" applyFont="1"/>
    <xf numFmtId="166" fontId="2" fillId="0" borderId="0" xfId="0" applyNumberFormat="1" applyFont="1" applyFill="1" applyBorder="1"/>
    <xf numFmtId="164" fontId="2" fillId="0" borderId="14" xfId="1" applyNumberFormat="1" applyFont="1" applyFill="1" applyBorder="1" applyProtection="1"/>
    <xf numFmtId="164" fontId="2" fillId="0" borderId="0" xfId="1" applyNumberFormat="1" applyFont="1" applyBorder="1"/>
    <xf numFmtId="0" fontId="2" fillId="0" borderId="39" xfId="0" applyFont="1" applyBorder="1" applyAlignment="1" applyProtection="1">
      <alignment horizontal="left"/>
    </xf>
    <xf numFmtId="43" fontId="2" fillId="0" borderId="1" xfId="0" applyNumberFormat="1" applyFont="1" applyBorder="1"/>
    <xf numFmtId="0" fontId="2" fillId="0" borderId="40" xfId="0" applyFont="1" applyBorder="1" applyProtection="1"/>
    <xf numFmtId="4" fontId="17" fillId="0" borderId="0" xfId="0" applyNumberFormat="1" applyFont="1"/>
    <xf numFmtId="0" fontId="2" fillId="12" borderId="3" xfId="0" applyFont="1" applyFill="1" applyBorder="1"/>
    <xf numFmtId="4" fontId="12" fillId="0" borderId="0" xfId="0" applyNumberFormat="1" applyFont="1"/>
    <xf numFmtId="0" fontId="12" fillId="5" borderId="38" xfId="0" applyFont="1" applyFill="1" applyBorder="1" applyAlignment="1">
      <alignment vertical="center" wrapText="1"/>
    </xf>
    <xf numFmtId="3" fontId="2" fillId="0" borderId="0" xfId="0" applyNumberFormat="1" applyFont="1"/>
    <xf numFmtId="0" fontId="2" fillId="0" borderId="19" xfId="0" applyFont="1" applyBorder="1"/>
    <xf numFmtId="0" fontId="17" fillId="5" borderId="41" xfId="0" applyFont="1" applyFill="1" applyBorder="1" applyAlignment="1">
      <alignment vertical="center" wrapText="1"/>
    </xf>
    <xf numFmtId="0" fontId="18" fillId="0" borderId="0" xfId="0" applyFont="1" applyAlignment="1">
      <alignment vertical="center"/>
    </xf>
    <xf numFmtId="0" fontId="18" fillId="0" borderId="0" xfId="0" applyFont="1" applyFill="1" applyBorder="1" applyAlignment="1">
      <alignment vertical="center"/>
    </xf>
    <xf numFmtId="4" fontId="19" fillId="7" borderId="19" xfId="0" applyNumberFormat="1" applyFont="1" applyFill="1" applyBorder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4" fontId="19" fillId="0" borderId="0" xfId="0" applyNumberFormat="1" applyFont="1"/>
    <xf numFmtId="0" fontId="11" fillId="0" borderId="24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2" fillId="13" borderId="16" xfId="0" applyFont="1" applyFill="1" applyBorder="1"/>
    <xf numFmtId="4" fontId="19" fillId="14" borderId="5" xfId="0" applyNumberFormat="1" applyFont="1" applyFill="1" applyBorder="1"/>
    <xf numFmtId="0" fontId="2" fillId="15" borderId="3" xfId="0" applyFont="1" applyFill="1" applyBorder="1" applyAlignment="1">
      <alignment horizontal="center" vertical="center"/>
    </xf>
    <xf numFmtId="43" fontId="19" fillId="15" borderId="5" xfId="1" applyFont="1" applyFill="1" applyBorder="1" applyProtection="1"/>
    <xf numFmtId="0" fontId="11" fillId="0" borderId="42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4" fontId="20" fillId="0" borderId="0" xfId="0" applyNumberFormat="1" applyFont="1" applyAlignment="1">
      <alignment vertical="center" wrapText="1"/>
    </xf>
    <xf numFmtId="4" fontId="19" fillId="7" borderId="3" xfId="0" applyNumberFormat="1" applyFont="1" applyFill="1" applyBorder="1"/>
    <xf numFmtId="0" fontId="21" fillId="0" borderId="43" xfId="0" applyFont="1" applyFill="1" applyBorder="1" applyAlignment="1">
      <alignment horizontal="center" vertical="center"/>
    </xf>
    <xf numFmtId="0" fontId="22" fillId="0" borderId="24" xfId="0" applyFont="1" applyBorder="1"/>
    <xf numFmtId="0" fontId="21" fillId="0" borderId="44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23" fillId="4" borderId="28" xfId="0" applyFont="1" applyFill="1" applyBorder="1" applyAlignment="1">
      <alignment horizontal="center" vertical="center"/>
    </xf>
    <xf numFmtId="0" fontId="3" fillId="13" borderId="22" xfId="0" applyFont="1" applyFill="1" applyBorder="1" applyAlignment="1">
      <alignment horizontal="center" vertical="center"/>
    </xf>
    <xf numFmtId="0" fontId="24" fillId="4" borderId="28" xfId="0" applyFont="1" applyFill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3" fillId="4" borderId="30" xfId="0" applyFont="1" applyFill="1" applyBorder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24" fillId="4" borderId="30" xfId="0" applyFont="1" applyFill="1" applyBorder="1" applyAlignment="1">
      <alignment horizontal="center" vertical="center"/>
    </xf>
    <xf numFmtId="0" fontId="6" fillId="16" borderId="17" xfId="0" applyFont="1" applyFill="1" applyBorder="1" applyAlignment="1">
      <alignment horizontal="center" vertical="center"/>
    </xf>
    <xf numFmtId="0" fontId="3" fillId="12" borderId="11" xfId="0" applyFont="1" applyFill="1" applyBorder="1" applyAlignment="1">
      <alignment horizontal="center"/>
    </xf>
    <xf numFmtId="0" fontId="23" fillId="4" borderId="34" xfId="0" applyFont="1" applyFill="1" applyBorder="1" applyAlignment="1">
      <alignment horizontal="center" vertical="center"/>
    </xf>
    <xf numFmtId="0" fontId="24" fillId="4" borderId="34" xfId="0" applyFont="1" applyFill="1" applyBorder="1" applyAlignment="1">
      <alignment horizontal="center" vertical="center"/>
    </xf>
    <xf numFmtId="0" fontId="11" fillId="0" borderId="11" xfId="0" applyFont="1" applyBorder="1"/>
    <xf numFmtId="0" fontId="11" fillId="0" borderId="0" xfId="0" applyFont="1" applyFill="1" applyBorder="1"/>
    <xf numFmtId="0" fontId="23" fillId="0" borderId="0" xfId="0" applyFont="1" applyAlignment="1">
      <alignment horizontal="center" vertical="center"/>
    </xf>
    <xf numFmtId="0" fontId="11" fillId="17" borderId="19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" fillId="0" borderId="11" xfId="0" applyFont="1" applyBorder="1"/>
    <xf numFmtId="0" fontId="3" fillId="0" borderId="0" xfId="0" applyFont="1" applyFill="1" applyBorder="1"/>
    <xf numFmtId="0" fontId="3" fillId="0" borderId="1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16" borderId="5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5" xfId="0" applyFont="1" applyBorder="1"/>
    <xf numFmtId="0" fontId="3" fillId="0" borderId="0" xfId="0" applyFont="1" applyFill="1" applyBorder="1" applyAlignment="1">
      <alignment horizontal="center" vertical="center"/>
    </xf>
    <xf numFmtId="0" fontId="26" fillId="0" borderId="0" xfId="0" applyFont="1" applyAlignment="1">
      <alignment wrapText="1"/>
    </xf>
    <xf numFmtId="0" fontId="3" fillId="7" borderId="3" xfId="0" applyFont="1" applyFill="1" applyBorder="1" applyAlignment="1">
      <alignment horizontal="center" vertical="center"/>
    </xf>
    <xf numFmtId="0" fontId="2" fillId="12" borderId="46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12" borderId="47" xfId="0" applyFont="1" applyFill="1" applyBorder="1" applyAlignment="1">
      <alignment horizontal="center" vertical="center"/>
    </xf>
    <xf numFmtId="0" fontId="2" fillId="0" borderId="0" xfId="0" quotePrefix="1" applyFont="1"/>
  </cellXfs>
  <cellStyles count="2">
    <cellStyle name="Comma" xfId="1" builtinId="3"/>
    <cellStyle name="Normal" xfId="0" builtinId="0"/>
  </cellStyles>
  <dxfs count="69">
    <dxf>
      <font>
        <strike val="0"/>
        <outline val="0"/>
        <shadow val="0"/>
        <u val="none"/>
        <vertAlign val="baseline"/>
        <sz val="14"/>
        <name val="Times New Roman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strike val="0"/>
        <outline val="0"/>
        <shadow val="0"/>
        <u val="none"/>
        <vertAlign val="baseline"/>
        <name val="Times New Roman"/>
        <scheme val="none"/>
      </font>
      <numFmt numFmtId="35" formatCode="_ * #,##0.00_ ;_ * \-#,##0.00_ ;_ * &quot;-&quot;??_ ;_ @_ "/>
      <alignment horizontal="center" vertical="center" textRotation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35" formatCode="_ * #,##0.00_ ;_ * \-#,##0.00_ ;_ * &quot;-&quot;??_ ;_ @_ 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Times New Roman"/>
        <scheme val="none"/>
      </font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Times New Roman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4"/>
        <name val="Times New Roman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4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4"/>
        <name val="Times New Roman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4"/>
        <name val="Times New Roman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4"/>
        <name val="Times New Roman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4"/>
        <name val="Times New Roman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strike val="0"/>
        <outline val="0"/>
        <shadow val="0"/>
        <u val="none"/>
        <vertAlign val="baseline"/>
        <sz val="14"/>
        <name val="Times New Roman"/>
        <scheme val="none"/>
      </font>
      <numFmt numFmtId="35" formatCode="_ * #,##0.00_ ;_ * \-#,##0.00_ ;_ * &quot;-&quot;??_ ;_ @_ "/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35" formatCode="_ * #,##0.00_ ;_ * \-#,##0.00_ ;_ * &quot;-&quot;??_ ;_ @_ 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Times New Roman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Times New Roman"/>
        <scheme val="none"/>
      </font>
      <alignment horizontal="center" vertic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Times New Roman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4"/>
        <name val="Times New Roman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4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medium">
          <color indexed="64"/>
        </left>
        <right style="thin">
          <color indexed="64"/>
        </right>
        <top/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protection locked="1" hidden="0"/>
    </dxf>
    <dxf>
      <font>
        <b/>
        <strike val="0"/>
        <outline val="0"/>
        <shadow val="0"/>
        <u val="none"/>
        <vertAlign val="baseline"/>
        <sz val="14"/>
        <name val="Times New Roman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35" formatCode="_ * #,##0.00_ ;_ * \-#,##0.00_ ;_ * &quot;-&quot;??_ ;_ @_ "/>
    </dxf>
    <dxf>
      <font>
        <strike val="0"/>
        <outline val="0"/>
        <shadow val="0"/>
        <u val="none"/>
        <vertAlign val="baseline"/>
        <sz val="14"/>
        <name val="Times New Roman"/>
        <scheme val="none"/>
      </font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Times New Roman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4"/>
        <name val="Times New Roman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4"/>
        <name val="Times New Roman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4"/>
        <name val="Times New Roman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/>
      </border>
      <protection locked="1" hidden="0"/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35" formatCode="_ * #,##0.00_ ;_ * \-#,##0.00_ ;_ * &quot;-&quot;??_ ;_ 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35" formatCode="_ * #,##0.00_ ;_ * \-#,##0.00_ ;_ * &quot;-&quot;??_ ;_ 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Times New Roman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medium">
          <color indexed="64"/>
        </top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Times New Roman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4"/>
        <name val="Times New Roman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4"/>
        <name val="Times New Roman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EEE0599-D052-4961-989E-B282F16E655B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3" name="Picture 2">
          <a:extLst>
            <a:ext uri="{FF2B5EF4-FFF2-40B4-BE49-F238E27FC236}">
              <a16:creationId xmlns:a16="http://schemas.microsoft.com/office/drawing/2014/main" id="{F508D2F6-9DCC-47EB-9E65-AACBABC95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F6D4672-2C0A-4C03-AAC0-C14F39609521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5" name="Picture 4">
          <a:extLst>
            <a:ext uri="{FF2B5EF4-FFF2-40B4-BE49-F238E27FC236}">
              <a16:creationId xmlns:a16="http://schemas.microsoft.com/office/drawing/2014/main" id="{FBDB8C67-BA50-4533-84D8-E5B085D1C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9919075-7C8A-4886-9F6A-0E5ACE123968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7" name="Picture 6">
          <a:extLst>
            <a:ext uri="{FF2B5EF4-FFF2-40B4-BE49-F238E27FC236}">
              <a16:creationId xmlns:a16="http://schemas.microsoft.com/office/drawing/2014/main" id="{C0EB20C9-5601-4072-AC28-3CB55A9FF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6A008BC-774B-4933-B7A5-BD229FCFDBBF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9" name="Picture 8">
          <a:extLst>
            <a:ext uri="{FF2B5EF4-FFF2-40B4-BE49-F238E27FC236}">
              <a16:creationId xmlns:a16="http://schemas.microsoft.com/office/drawing/2014/main" id="{0ACACECE-7FD2-4EB4-8931-B66A81BE8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BD6F234-39BA-4C61-9D20-CB58E96D0B89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11" name="Picture 10">
          <a:extLst>
            <a:ext uri="{FF2B5EF4-FFF2-40B4-BE49-F238E27FC236}">
              <a16:creationId xmlns:a16="http://schemas.microsoft.com/office/drawing/2014/main" id="{8EBD0408-BABB-47E7-A657-6BB9333F5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45671A3-6B70-4681-841A-9CDC8DE3515A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13" name="Picture 12">
          <a:extLst>
            <a:ext uri="{FF2B5EF4-FFF2-40B4-BE49-F238E27FC236}">
              <a16:creationId xmlns:a16="http://schemas.microsoft.com/office/drawing/2014/main" id="{52D0D3DA-C170-4405-A92F-5BA3792C2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B8F645E-97A4-4CB6-81E8-FA8A88CA8BBA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15" name="Picture 14">
          <a:extLst>
            <a:ext uri="{FF2B5EF4-FFF2-40B4-BE49-F238E27FC236}">
              <a16:creationId xmlns:a16="http://schemas.microsoft.com/office/drawing/2014/main" id="{0D91E74E-3195-4384-888B-98ECAE544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339FAB2-C9AF-4A70-8934-501BA9F884FA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17" name="Picture 16">
          <a:extLst>
            <a:ext uri="{FF2B5EF4-FFF2-40B4-BE49-F238E27FC236}">
              <a16:creationId xmlns:a16="http://schemas.microsoft.com/office/drawing/2014/main" id="{75ADA009-9BFE-4C5A-AF17-1A7EBD5C1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oneCellAnchor>
    <xdr:from>
      <xdr:col>4</xdr:col>
      <xdr:colOff>65057</xdr:colOff>
      <xdr:row>84</xdr:row>
      <xdr:rowOff>47085</xdr:rowOff>
    </xdr:from>
    <xdr:ext cx="1266826" cy="1175530"/>
    <xdr:pic>
      <xdr:nvPicPr>
        <xdr:cNvPr id="18" name="Picture 17">
          <a:extLst>
            <a:ext uri="{FF2B5EF4-FFF2-40B4-BE49-F238E27FC236}">
              <a16:creationId xmlns:a16="http://schemas.microsoft.com/office/drawing/2014/main" id="{2CAD61FC-09DA-4B91-AECB-10C038B6A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8607" y="20459160"/>
          <a:ext cx="1266826" cy="1175530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DAC28ACA-2634-408D-8E61-0F2AA408F99F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20" name="Picture 19">
          <a:extLst>
            <a:ext uri="{FF2B5EF4-FFF2-40B4-BE49-F238E27FC236}">
              <a16:creationId xmlns:a16="http://schemas.microsoft.com/office/drawing/2014/main" id="{65CE71EB-CA28-4D51-A4D5-06E92DCB3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9EE1F21-DE1F-4E6B-B4F1-FD3568239D52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22" name="Picture 21">
          <a:extLst>
            <a:ext uri="{FF2B5EF4-FFF2-40B4-BE49-F238E27FC236}">
              <a16:creationId xmlns:a16="http://schemas.microsoft.com/office/drawing/2014/main" id="{30DA1E36-FF8A-4147-B559-73DD6AB2F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F8DF9A-5A85-4ED3-908C-EDF06EAF02F0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24" name="Picture 23">
          <a:extLst>
            <a:ext uri="{FF2B5EF4-FFF2-40B4-BE49-F238E27FC236}">
              <a16:creationId xmlns:a16="http://schemas.microsoft.com/office/drawing/2014/main" id="{06C8847B-6A75-49A5-BCA7-4C1DC4AD7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2FFB5FAF-2D8C-4974-9D8D-C3D4EA823F41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26" name="Picture 25">
          <a:extLst>
            <a:ext uri="{FF2B5EF4-FFF2-40B4-BE49-F238E27FC236}">
              <a16:creationId xmlns:a16="http://schemas.microsoft.com/office/drawing/2014/main" id="{76364E34-AB4F-4C54-9194-69DEEDD91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D05CC101-81F2-4C11-9305-7AA62B832236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28" name="Picture 27">
          <a:extLst>
            <a:ext uri="{FF2B5EF4-FFF2-40B4-BE49-F238E27FC236}">
              <a16:creationId xmlns:a16="http://schemas.microsoft.com/office/drawing/2014/main" id="{1CC06F47-F102-4726-9C06-026A3527A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2E50A4DF-FE41-44BC-96E8-336F5FC19632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30" name="Picture 29">
          <a:extLst>
            <a:ext uri="{FF2B5EF4-FFF2-40B4-BE49-F238E27FC236}">
              <a16:creationId xmlns:a16="http://schemas.microsoft.com/office/drawing/2014/main" id="{9D728460-23C0-4AA7-B14D-4EDB7F8C2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17257433-7371-4DB7-A513-C45EAED6FCEF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32" name="Picture 31">
          <a:extLst>
            <a:ext uri="{FF2B5EF4-FFF2-40B4-BE49-F238E27FC236}">
              <a16:creationId xmlns:a16="http://schemas.microsoft.com/office/drawing/2014/main" id="{8D6101F1-4B5A-468A-97A5-E37AB4E2C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33F461C7-C04A-4B92-83EA-14EDA901BAEB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114299</xdr:colOff>
      <xdr:row>84</xdr:row>
      <xdr:rowOff>9524</xdr:rowOff>
    </xdr:from>
    <xdr:ext cx="1266826" cy="1238251"/>
    <xdr:pic>
      <xdr:nvPicPr>
        <xdr:cNvPr id="34" name="Picture 33">
          <a:extLst>
            <a:ext uri="{FF2B5EF4-FFF2-40B4-BE49-F238E27FC236}">
              <a16:creationId xmlns:a16="http://schemas.microsoft.com/office/drawing/2014/main" id="{320313D4-081B-4256-94C4-9AE3241AB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599" y="20421599"/>
          <a:ext cx="1266826" cy="1238251"/>
        </a:xfrm>
        <a:prstGeom prst="rect">
          <a:avLst/>
        </a:prstGeom>
      </xdr:spPr>
    </xdr:pic>
    <xdr:clientData/>
  </xdr:oneCellAnchor>
  <xdr:oneCellAnchor>
    <xdr:from>
      <xdr:col>4</xdr:col>
      <xdr:colOff>55532</xdr:colOff>
      <xdr:row>84</xdr:row>
      <xdr:rowOff>47085</xdr:rowOff>
    </xdr:from>
    <xdr:ext cx="1266826" cy="1175530"/>
    <xdr:pic>
      <xdr:nvPicPr>
        <xdr:cNvPr id="35" name="Picture 34">
          <a:extLst>
            <a:ext uri="{FF2B5EF4-FFF2-40B4-BE49-F238E27FC236}">
              <a16:creationId xmlns:a16="http://schemas.microsoft.com/office/drawing/2014/main" id="{00044BBD-0685-48F6-80AD-AF7B199B1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9082" y="20459160"/>
          <a:ext cx="1266826" cy="1175530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12D37B3B-3CD8-4135-BBDD-F18568F4F951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37" name="Picture 36">
          <a:extLst>
            <a:ext uri="{FF2B5EF4-FFF2-40B4-BE49-F238E27FC236}">
              <a16:creationId xmlns:a16="http://schemas.microsoft.com/office/drawing/2014/main" id="{3487337A-FAF7-47F8-94D4-560B13C0B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59232BB8-9316-457A-BC1C-6590EF3B1D1B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39" name="Picture 38">
          <a:extLst>
            <a:ext uri="{FF2B5EF4-FFF2-40B4-BE49-F238E27FC236}">
              <a16:creationId xmlns:a16="http://schemas.microsoft.com/office/drawing/2014/main" id="{BAF5FA66-28AF-4E8C-B9FD-7DC0BC37B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6E7FF12B-4ABD-4CE9-BC34-015504672E90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41" name="Picture 40">
          <a:extLst>
            <a:ext uri="{FF2B5EF4-FFF2-40B4-BE49-F238E27FC236}">
              <a16:creationId xmlns:a16="http://schemas.microsoft.com/office/drawing/2014/main" id="{28B10A8E-33C8-4CCC-B00D-B3848463A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6006FC0B-66B1-467C-B213-5A9AB0E3CB1A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43" name="Picture 42">
          <a:extLst>
            <a:ext uri="{FF2B5EF4-FFF2-40B4-BE49-F238E27FC236}">
              <a16:creationId xmlns:a16="http://schemas.microsoft.com/office/drawing/2014/main" id="{B2E71CD3-B544-4283-8BB7-8FB7F13AD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E305BE6D-C9C4-4E98-A1A1-5F9EC973F524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45" name="Picture 44">
          <a:extLst>
            <a:ext uri="{FF2B5EF4-FFF2-40B4-BE49-F238E27FC236}">
              <a16:creationId xmlns:a16="http://schemas.microsoft.com/office/drawing/2014/main" id="{7BF15B05-3462-469D-B6D5-399D120EF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2ED8905C-5D2D-4AFF-B5A5-1419669DFD1B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47" name="Picture 46">
          <a:extLst>
            <a:ext uri="{FF2B5EF4-FFF2-40B4-BE49-F238E27FC236}">
              <a16:creationId xmlns:a16="http://schemas.microsoft.com/office/drawing/2014/main" id="{15497DAB-EA56-4724-86BF-29D14AA5F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108B89FA-5086-4BB7-9893-3BCC78FDF349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49" name="Picture 48">
          <a:extLst>
            <a:ext uri="{FF2B5EF4-FFF2-40B4-BE49-F238E27FC236}">
              <a16:creationId xmlns:a16="http://schemas.microsoft.com/office/drawing/2014/main" id="{ECD1EFE1-F9F0-45F2-A1C0-E8F820675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3496B660-C5EC-49BA-BEF3-C29BB68C713D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51" name="Picture 50">
          <a:extLst>
            <a:ext uri="{FF2B5EF4-FFF2-40B4-BE49-F238E27FC236}">
              <a16:creationId xmlns:a16="http://schemas.microsoft.com/office/drawing/2014/main" id="{B37D90F0-6C32-40AE-8D2B-DB1B0F106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oneCellAnchor>
    <xdr:from>
      <xdr:col>4</xdr:col>
      <xdr:colOff>65057</xdr:colOff>
      <xdr:row>84</xdr:row>
      <xdr:rowOff>47085</xdr:rowOff>
    </xdr:from>
    <xdr:ext cx="1266826" cy="1175530"/>
    <xdr:pic>
      <xdr:nvPicPr>
        <xdr:cNvPr id="52" name="Picture 51">
          <a:extLst>
            <a:ext uri="{FF2B5EF4-FFF2-40B4-BE49-F238E27FC236}">
              <a16:creationId xmlns:a16="http://schemas.microsoft.com/office/drawing/2014/main" id="{8BC4C86C-B70F-4C93-8572-FF73A57D2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8607" y="20459160"/>
          <a:ext cx="1266826" cy="1175530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B5081F76-9FFA-496A-A1DA-1B5AEBE56189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54" name="Picture 53">
          <a:extLst>
            <a:ext uri="{FF2B5EF4-FFF2-40B4-BE49-F238E27FC236}">
              <a16:creationId xmlns:a16="http://schemas.microsoft.com/office/drawing/2014/main" id="{732EA3D0-D47D-4F8E-9211-9E133CFC1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788C20FC-31CA-4AEF-8B01-1CF23DC1E38E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56" name="Picture 55">
          <a:extLst>
            <a:ext uri="{FF2B5EF4-FFF2-40B4-BE49-F238E27FC236}">
              <a16:creationId xmlns:a16="http://schemas.microsoft.com/office/drawing/2014/main" id="{6B221FAA-E502-476C-8762-8469495B7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19BA72C8-C6A7-4C05-B8BE-FE1688AEED2C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58" name="Picture 57">
          <a:extLst>
            <a:ext uri="{FF2B5EF4-FFF2-40B4-BE49-F238E27FC236}">
              <a16:creationId xmlns:a16="http://schemas.microsoft.com/office/drawing/2014/main" id="{8A6C8083-4D23-41A6-AFF3-5D4AE8B16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ABF1F458-0BA5-4AAC-AB58-9460179B7DA3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60" name="Picture 59">
          <a:extLst>
            <a:ext uri="{FF2B5EF4-FFF2-40B4-BE49-F238E27FC236}">
              <a16:creationId xmlns:a16="http://schemas.microsoft.com/office/drawing/2014/main" id="{9789C7DC-0506-41D0-AB51-B7D9DF07B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E64105F8-0ED4-4726-ADF6-556F24B2E41B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62" name="Picture 61">
          <a:extLst>
            <a:ext uri="{FF2B5EF4-FFF2-40B4-BE49-F238E27FC236}">
              <a16:creationId xmlns:a16="http://schemas.microsoft.com/office/drawing/2014/main" id="{1DB229E2-3CA2-42AA-AB8D-03AA0B822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FFADA148-92EB-4A21-92EE-CCC4E0AC9924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64" name="Picture 63">
          <a:extLst>
            <a:ext uri="{FF2B5EF4-FFF2-40B4-BE49-F238E27FC236}">
              <a16:creationId xmlns:a16="http://schemas.microsoft.com/office/drawing/2014/main" id="{293930DB-B888-41F7-8AF9-76881240B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83B69E11-9875-4CE1-A1A3-66D541B270B2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66" name="Picture 65">
          <a:extLst>
            <a:ext uri="{FF2B5EF4-FFF2-40B4-BE49-F238E27FC236}">
              <a16:creationId xmlns:a16="http://schemas.microsoft.com/office/drawing/2014/main" id="{FB9CE9B7-50F9-45A1-B364-20B215FC8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172B6881-9859-472C-B863-35A9AECA914D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114299</xdr:colOff>
      <xdr:row>84</xdr:row>
      <xdr:rowOff>9524</xdr:rowOff>
    </xdr:from>
    <xdr:ext cx="1266826" cy="1238251"/>
    <xdr:pic>
      <xdr:nvPicPr>
        <xdr:cNvPr id="68" name="Picture 67">
          <a:extLst>
            <a:ext uri="{FF2B5EF4-FFF2-40B4-BE49-F238E27FC236}">
              <a16:creationId xmlns:a16="http://schemas.microsoft.com/office/drawing/2014/main" id="{ACC8CA99-26EB-4CE9-B3AC-01E65B423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599" y="20421599"/>
          <a:ext cx="1266826" cy="1238251"/>
        </a:xfrm>
        <a:prstGeom prst="rect">
          <a:avLst/>
        </a:prstGeom>
      </xdr:spPr>
    </xdr:pic>
    <xdr:clientData/>
  </xdr:oneCellAnchor>
  <xdr:oneCellAnchor>
    <xdr:from>
      <xdr:col>4</xdr:col>
      <xdr:colOff>55532</xdr:colOff>
      <xdr:row>84</xdr:row>
      <xdr:rowOff>47085</xdr:rowOff>
    </xdr:from>
    <xdr:ext cx="1266826" cy="1175530"/>
    <xdr:pic>
      <xdr:nvPicPr>
        <xdr:cNvPr id="69" name="Picture 68">
          <a:extLst>
            <a:ext uri="{FF2B5EF4-FFF2-40B4-BE49-F238E27FC236}">
              <a16:creationId xmlns:a16="http://schemas.microsoft.com/office/drawing/2014/main" id="{93BE57BC-873E-4B5C-8DA4-EABD05616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9082" y="20459160"/>
          <a:ext cx="1266826" cy="1175530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A53031A9-F787-442E-ADDE-1243165164C3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71" name="Picture 70">
          <a:extLst>
            <a:ext uri="{FF2B5EF4-FFF2-40B4-BE49-F238E27FC236}">
              <a16:creationId xmlns:a16="http://schemas.microsoft.com/office/drawing/2014/main" id="{A650AD35-1D72-44DE-98A1-0671D068A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7A38C936-AA35-406B-9387-5BC78D0589E6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73" name="Picture 72">
          <a:extLst>
            <a:ext uri="{FF2B5EF4-FFF2-40B4-BE49-F238E27FC236}">
              <a16:creationId xmlns:a16="http://schemas.microsoft.com/office/drawing/2014/main" id="{E8D0A672-AC2C-4A99-8AD4-51DEEB5CF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9A054A6D-EBBB-475E-888F-5245D8B639B5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75" name="Picture 74">
          <a:extLst>
            <a:ext uri="{FF2B5EF4-FFF2-40B4-BE49-F238E27FC236}">
              <a16:creationId xmlns:a16="http://schemas.microsoft.com/office/drawing/2014/main" id="{CF87B413-CC90-482C-BEA6-E93A90139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86DAE87-3E9E-4FDB-BB05-6B34E507620B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77" name="Picture 76">
          <a:extLst>
            <a:ext uri="{FF2B5EF4-FFF2-40B4-BE49-F238E27FC236}">
              <a16:creationId xmlns:a16="http://schemas.microsoft.com/office/drawing/2014/main" id="{5E8326F8-FFF5-46E0-BAC8-F36153471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779E8AC-717D-4874-8F92-8767460EEC5B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79" name="Picture 78">
          <a:extLst>
            <a:ext uri="{FF2B5EF4-FFF2-40B4-BE49-F238E27FC236}">
              <a16:creationId xmlns:a16="http://schemas.microsoft.com/office/drawing/2014/main" id="{7A5CFD4B-07AD-4894-89C8-2BC9B7C52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C7A3F936-B0E0-416D-81CC-680059B4305A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81" name="Picture 80">
          <a:extLst>
            <a:ext uri="{FF2B5EF4-FFF2-40B4-BE49-F238E27FC236}">
              <a16:creationId xmlns:a16="http://schemas.microsoft.com/office/drawing/2014/main" id="{E7FC6B45-57AC-407F-A375-FFEB17236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72532617-5F9B-4861-9960-5AB70EC09870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83" name="Picture 82">
          <a:extLst>
            <a:ext uri="{FF2B5EF4-FFF2-40B4-BE49-F238E27FC236}">
              <a16:creationId xmlns:a16="http://schemas.microsoft.com/office/drawing/2014/main" id="{76CA3C10-3F08-4E15-830A-5BEE51C42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844B931C-F798-414F-B583-617E187A9444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85" name="Picture 84">
          <a:extLst>
            <a:ext uri="{FF2B5EF4-FFF2-40B4-BE49-F238E27FC236}">
              <a16:creationId xmlns:a16="http://schemas.microsoft.com/office/drawing/2014/main" id="{F2E2970B-1F78-4996-9931-24512B17A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oneCellAnchor>
    <xdr:from>
      <xdr:col>4</xdr:col>
      <xdr:colOff>65057</xdr:colOff>
      <xdr:row>84</xdr:row>
      <xdr:rowOff>47085</xdr:rowOff>
    </xdr:from>
    <xdr:ext cx="1266826" cy="1175530"/>
    <xdr:pic>
      <xdr:nvPicPr>
        <xdr:cNvPr id="86" name="Picture 85">
          <a:extLst>
            <a:ext uri="{FF2B5EF4-FFF2-40B4-BE49-F238E27FC236}">
              <a16:creationId xmlns:a16="http://schemas.microsoft.com/office/drawing/2014/main" id="{27D86761-5187-4645-9F33-038630881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8607" y="20459160"/>
          <a:ext cx="1266826" cy="1175530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EBBC6D8B-CFEE-43CE-A443-D6506F090B8E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88" name="Picture 87">
          <a:extLst>
            <a:ext uri="{FF2B5EF4-FFF2-40B4-BE49-F238E27FC236}">
              <a16:creationId xmlns:a16="http://schemas.microsoft.com/office/drawing/2014/main" id="{E12E4334-65BD-4388-92D9-561E276AC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91B8500E-1882-4E4B-86E3-3B191B721265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90" name="Picture 89">
          <a:extLst>
            <a:ext uri="{FF2B5EF4-FFF2-40B4-BE49-F238E27FC236}">
              <a16:creationId xmlns:a16="http://schemas.microsoft.com/office/drawing/2014/main" id="{ECC3AF65-81C6-4C8E-BA5E-9BA9622EA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FA00E124-8CFE-49FE-86B1-51C3F92898FB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92" name="Picture 91">
          <a:extLst>
            <a:ext uri="{FF2B5EF4-FFF2-40B4-BE49-F238E27FC236}">
              <a16:creationId xmlns:a16="http://schemas.microsoft.com/office/drawing/2014/main" id="{7A5572CA-D883-4CD9-83A6-129AE5849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4F1C2869-545F-48E4-8D9F-CDE5A480DCA2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94" name="Picture 93">
          <a:extLst>
            <a:ext uri="{FF2B5EF4-FFF2-40B4-BE49-F238E27FC236}">
              <a16:creationId xmlns:a16="http://schemas.microsoft.com/office/drawing/2014/main" id="{0386D850-73E0-4B91-8609-DB25440AA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65DC93E1-9ACD-4383-9C90-84F45FFD562B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96" name="Picture 95">
          <a:extLst>
            <a:ext uri="{FF2B5EF4-FFF2-40B4-BE49-F238E27FC236}">
              <a16:creationId xmlns:a16="http://schemas.microsoft.com/office/drawing/2014/main" id="{1A1BCE55-D0B2-45E5-9551-ED45D7266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3ED8800C-B566-467C-84FB-FFFEC0BB6FF2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98" name="Picture 97">
          <a:extLst>
            <a:ext uri="{FF2B5EF4-FFF2-40B4-BE49-F238E27FC236}">
              <a16:creationId xmlns:a16="http://schemas.microsoft.com/office/drawing/2014/main" id="{1D520794-D9B5-4811-9B40-D47625B39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2F47E54F-19E4-4AE8-955C-BAD2FC75229D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100" name="Picture 99">
          <a:extLst>
            <a:ext uri="{FF2B5EF4-FFF2-40B4-BE49-F238E27FC236}">
              <a16:creationId xmlns:a16="http://schemas.microsoft.com/office/drawing/2014/main" id="{63302EBA-4090-4A56-AAE0-5E116395D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FD55F1D6-337F-430D-AEC2-122B857B78BD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114299</xdr:colOff>
      <xdr:row>84</xdr:row>
      <xdr:rowOff>9524</xdr:rowOff>
    </xdr:from>
    <xdr:ext cx="1266826" cy="1238251"/>
    <xdr:pic>
      <xdr:nvPicPr>
        <xdr:cNvPr id="102" name="Picture 101">
          <a:extLst>
            <a:ext uri="{FF2B5EF4-FFF2-40B4-BE49-F238E27FC236}">
              <a16:creationId xmlns:a16="http://schemas.microsoft.com/office/drawing/2014/main" id="{A4EA38E4-0478-4F54-AA04-F0412086C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599" y="20421599"/>
          <a:ext cx="1266826" cy="1238251"/>
        </a:xfrm>
        <a:prstGeom prst="rect">
          <a:avLst/>
        </a:prstGeom>
      </xdr:spPr>
    </xdr:pic>
    <xdr:clientData/>
  </xdr:oneCellAnchor>
  <xdr:oneCellAnchor>
    <xdr:from>
      <xdr:col>4</xdr:col>
      <xdr:colOff>55532</xdr:colOff>
      <xdr:row>84</xdr:row>
      <xdr:rowOff>47085</xdr:rowOff>
    </xdr:from>
    <xdr:ext cx="1266826" cy="1175530"/>
    <xdr:pic>
      <xdr:nvPicPr>
        <xdr:cNvPr id="103" name="Picture 102">
          <a:extLst>
            <a:ext uri="{FF2B5EF4-FFF2-40B4-BE49-F238E27FC236}">
              <a16:creationId xmlns:a16="http://schemas.microsoft.com/office/drawing/2014/main" id="{AE97545B-4A7A-4539-A3A4-246F99D64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9082" y="20459160"/>
          <a:ext cx="1266826" cy="1175530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1F3BFFCA-E46B-4EED-B2F2-72D5CA81DCF0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105" name="Picture 104">
          <a:extLst>
            <a:ext uri="{FF2B5EF4-FFF2-40B4-BE49-F238E27FC236}">
              <a16:creationId xmlns:a16="http://schemas.microsoft.com/office/drawing/2014/main" id="{775BC40C-902D-40BE-AFF8-3C03E9504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49330465-192A-4FC2-8833-37DFE8B5D5C5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107" name="Picture 106">
          <a:extLst>
            <a:ext uri="{FF2B5EF4-FFF2-40B4-BE49-F238E27FC236}">
              <a16:creationId xmlns:a16="http://schemas.microsoft.com/office/drawing/2014/main" id="{5FBEC5A9-02B4-4C90-B7D6-8AE4EBDCC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FA4C640-EE2B-43AE-9F3D-2C7A709FAA53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109" name="Picture 108">
          <a:extLst>
            <a:ext uri="{FF2B5EF4-FFF2-40B4-BE49-F238E27FC236}">
              <a16:creationId xmlns:a16="http://schemas.microsoft.com/office/drawing/2014/main" id="{91DC27B5-9766-479C-B5C1-DEE2E10EA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C54D5EA8-88F8-4EF5-B0C3-0C08BE885ACB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111" name="Picture 110">
          <a:extLst>
            <a:ext uri="{FF2B5EF4-FFF2-40B4-BE49-F238E27FC236}">
              <a16:creationId xmlns:a16="http://schemas.microsoft.com/office/drawing/2014/main" id="{2B54C2D1-11EB-4F45-8B50-A2C100D18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D04B6A73-7D3E-4413-B5DF-3AC171E17DA2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113" name="Picture 112">
          <a:extLst>
            <a:ext uri="{FF2B5EF4-FFF2-40B4-BE49-F238E27FC236}">
              <a16:creationId xmlns:a16="http://schemas.microsoft.com/office/drawing/2014/main" id="{D2175246-1E76-42AB-813C-B5FC1A158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4912D02C-4C93-4A81-8B05-A0865A7E86D6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115" name="Picture 114">
          <a:extLst>
            <a:ext uri="{FF2B5EF4-FFF2-40B4-BE49-F238E27FC236}">
              <a16:creationId xmlns:a16="http://schemas.microsoft.com/office/drawing/2014/main" id="{91191EBC-E440-4FA5-BCB4-668787840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75139950-BF7B-4A20-AB8E-F09EDB37A559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117" name="Picture 116">
          <a:extLst>
            <a:ext uri="{FF2B5EF4-FFF2-40B4-BE49-F238E27FC236}">
              <a16:creationId xmlns:a16="http://schemas.microsoft.com/office/drawing/2014/main" id="{A688DF92-50EA-4605-B469-D03B0E63B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E9E32D29-9E20-4CBA-8066-1A81911D625C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119" name="Picture 118">
          <a:extLst>
            <a:ext uri="{FF2B5EF4-FFF2-40B4-BE49-F238E27FC236}">
              <a16:creationId xmlns:a16="http://schemas.microsoft.com/office/drawing/2014/main" id="{E00F6E27-8083-439B-8A25-F61F8F752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oneCellAnchor>
    <xdr:from>
      <xdr:col>4</xdr:col>
      <xdr:colOff>65057</xdr:colOff>
      <xdr:row>84</xdr:row>
      <xdr:rowOff>47085</xdr:rowOff>
    </xdr:from>
    <xdr:ext cx="1266826" cy="1175530"/>
    <xdr:pic>
      <xdr:nvPicPr>
        <xdr:cNvPr id="120" name="Picture 119">
          <a:extLst>
            <a:ext uri="{FF2B5EF4-FFF2-40B4-BE49-F238E27FC236}">
              <a16:creationId xmlns:a16="http://schemas.microsoft.com/office/drawing/2014/main" id="{E3197F4C-2DDD-41F1-AB79-7C5E6FBA1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8607" y="20459160"/>
          <a:ext cx="1266826" cy="1175530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A1260822-C1B5-49A2-A443-199F80B2D5F8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122" name="Picture 121">
          <a:extLst>
            <a:ext uri="{FF2B5EF4-FFF2-40B4-BE49-F238E27FC236}">
              <a16:creationId xmlns:a16="http://schemas.microsoft.com/office/drawing/2014/main" id="{6E0AF1B0-8386-4542-80BB-F99896188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295E04C6-8DE8-4270-89A6-F90CE1B8949B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124" name="Picture 123">
          <a:extLst>
            <a:ext uri="{FF2B5EF4-FFF2-40B4-BE49-F238E27FC236}">
              <a16:creationId xmlns:a16="http://schemas.microsoft.com/office/drawing/2014/main" id="{C20FF73F-2135-4DE5-8AE9-77B11F4D3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390300BC-3388-4CE7-BCFF-D004E548C0B7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126" name="Picture 125">
          <a:extLst>
            <a:ext uri="{FF2B5EF4-FFF2-40B4-BE49-F238E27FC236}">
              <a16:creationId xmlns:a16="http://schemas.microsoft.com/office/drawing/2014/main" id="{90F22188-D49F-44DD-AEDC-272BF6889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8F8FEC3D-265E-4F5C-95CA-619ECB8584C1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128" name="Picture 127">
          <a:extLst>
            <a:ext uri="{FF2B5EF4-FFF2-40B4-BE49-F238E27FC236}">
              <a16:creationId xmlns:a16="http://schemas.microsoft.com/office/drawing/2014/main" id="{875F3AC3-B6D0-4098-BFE1-DCDAF36DC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F2542561-A0A1-4A6F-ABBF-0967D880AF1A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130" name="Picture 129">
          <a:extLst>
            <a:ext uri="{FF2B5EF4-FFF2-40B4-BE49-F238E27FC236}">
              <a16:creationId xmlns:a16="http://schemas.microsoft.com/office/drawing/2014/main" id="{0A8A4570-90E3-47AD-BC81-5633C5477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1D54E57B-9C4C-4F53-856E-5A19B61A8B3F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132" name="Picture 131">
          <a:extLst>
            <a:ext uri="{FF2B5EF4-FFF2-40B4-BE49-F238E27FC236}">
              <a16:creationId xmlns:a16="http://schemas.microsoft.com/office/drawing/2014/main" id="{0B582306-807C-4F0D-ADB4-39038D6FB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6C061795-CEC8-4AE8-B199-3F04C5A1AE87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28574</xdr:colOff>
      <xdr:row>84</xdr:row>
      <xdr:rowOff>9524</xdr:rowOff>
    </xdr:from>
    <xdr:ext cx="1266826" cy="1238251"/>
    <xdr:pic>
      <xdr:nvPicPr>
        <xdr:cNvPr id="134" name="Picture 133">
          <a:extLst>
            <a:ext uri="{FF2B5EF4-FFF2-40B4-BE49-F238E27FC236}">
              <a16:creationId xmlns:a16="http://schemas.microsoft.com/office/drawing/2014/main" id="{7DC36385-2283-4907-8CF8-9158A8FD4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4" y="20421599"/>
          <a:ext cx="1266826" cy="1238251"/>
        </a:xfrm>
        <a:prstGeom prst="rect">
          <a:avLst/>
        </a:prstGeom>
      </xdr:spPr>
    </xdr:pic>
    <xdr:clientData/>
  </xdr:oneCellAnchor>
  <xdr:twoCellAnchor>
    <xdr:from>
      <xdr:col>2</xdr:col>
      <xdr:colOff>28576</xdr:colOff>
      <xdr:row>84</xdr:row>
      <xdr:rowOff>28576</xdr:rowOff>
    </xdr:from>
    <xdr:to>
      <xdr:col>2</xdr:col>
      <xdr:colOff>1285876</xdr:colOff>
      <xdr:row>86</xdr:row>
      <xdr:rowOff>295275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94473D99-4F26-4FE3-8563-7C7F41718F17}"/>
            </a:ext>
          </a:extLst>
        </xdr:cNvPr>
        <xdr:cNvSpPr txBox="1"/>
      </xdr:nvSpPr>
      <xdr:spPr>
        <a:xfrm>
          <a:off x="2047876" y="20440651"/>
          <a:ext cx="1257300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2</xdr:col>
      <xdr:colOff>114299</xdr:colOff>
      <xdr:row>84</xdr:row>
      <xdr:rowOff>9524</xdr:rowOff>
    </xdr:from>
    <xdr:ext cx="1266826" cy="1238251"/>
    <xdr:pic>
      <xdr:nvPicPr>
        <xdr:cNvPr id="136" name="Picture 135">
          <a:extLst>
            <a:ext uri="{FF2B5EF4-FFF2-40B4-BE49-F238E27FC236}">
              <a16:creationId xmlns:a16="http://schemas.microsoft.com/office/drawing/2014/main" id="{CD76711F-4580-47CA-B195-DA1A3ED45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599" y="20421599"/>
          <a:ext cx="1266826" cy="1238251"/>
        </a:xfrm>
        <a:prstGeom prst="rect">
          <a:avLst/>
        </a:prstGeom>
      </xdr:spPr>
    </xdr:pic>
    <xdr:clientData/>
  </xdr:oneCellAnchor>
  <xdr:oneCellAnchor>
    <xdr:from>
      <xdr:col>4</xdr:col>
      <xdr:colOff>55532</xdr:colOff>
      <xdr:row>84</xdr:row>
      <xdr:rowOff>47085</xdr:rowOff>
    </xdr:from>
    <xdr:ext cx="1266826" cy="1175530"/>
    <xdr:pic>
      <xdr:nvPicPr>
        <xdr:cNvPr id="137" name="Picture 136">
          <a:extLst>
            <a:ext uri="{FF2B5EF4-FFF2-40B4-BE49-F238E27FC236}">
              <a16:creationId xmlns:a16="http://schemas.microsoft.com/office/drawing/2014/main" id="{BC2C80F7-63E2-47DF-A17F-098E89088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9082" y="20459160"/>
          <a:ext cx="1266826" cy="117553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OneDrive/Desktop/IHSAN/CASHER%20ON/ON%20NOV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.11.2025"/>
      <sheetName val="02.11.2025"/>
      <sheetName val="03.11.2025"/>
      <sheetName val="05.11.2025"/>
      <sheetName val="06.11.2025"/>
      <sheetName val="07.11.2025"/>
      <sheetName val="10.11.2025"/>
      <sheetName val="11.11.2025"/>
      <sheetName val="12.11.2025"/>
      <sheetName val="13.11.2025"/>
      <sheetName val="14.11.2025"/>
      <sheetName val="15.11.2025"/>
      <sheetName val="17.11.2025"/>
      <sheetName val="18.11.2025"/>
      <sheetName val="19.11.2025"/>
      <sheetName val="20.11.2025"/>
      <sheetName val="21.11.2025"/>
      <sheetName val="22.11.2025"/>
      <sheetName val="24.11.2025"/>
      <sheetName val="25.11.2025"/>
      <sheetName val="26.11.2025"/>
      <sheetName val="27.11.2025"/>
      <sheetName val="28.11.2025"/>
      <sheetName val="29.11.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4">
          <cell r="H74"/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EAE0BA-F116-49F3-BDF4-045C77A82F46}" name="Table214258112026243135394347515559636771757983879195991041091141191241291341391441541591691641741791841891991931972052092132172212252292332372412452492532572612652692732772812852892932973013053093133173213253293333373413453493533573613653693733773813122" displayName="Table214258112026243135394347515559636771757983879195991041091141191241291341391441541591691641741791841891991931972052092132172212252292332372412452492532572612652692732772812852892932973013053093133173213253293333373413453493533573613653693733773813122" ref="B3:E73" totalsRowCount="1" headerRowDxfId="67" dataDxfId="66" totalsRowDxfId="65" headerRowBorderDxfId="64" totalsRowBorderDxfId="63">
  <autoFilter ref="B3:E72" xr:uid="{22B7BE9E-577E-414C-9516-32688768184F}"/>
  <tableColumns count="4">
    <tableColumn id="1" xr3:uid="{4C4AC559-24D5-475C-A82B-5E2F97621847}" name="NO." totalsRowLabel="TOTAL" dataDxfId="61" totalsRowDxfId="62"/>
    <tableColumn id="2" xr3:uid="{8801636F-AC2E-46B3-AA52-DC1726835D9F}" name="RECEIPT" totalsRowFunction="custom" dataDxfId="59" totalsRowDxfId="60" dataCellStyle="Comma">
      <totalsRowFormula>SUM(C4:C72)</totalsRowFormula>
    </tableColumn>
    <tableColumn id="3" xr3:uid="{8C0B4AF0-9401-4534-B579-2C22270179E2}" name="PAYMENT" totalsRowFunction="custom" dataDxfId="57" totalsRowDxfId="58" dataCellStyle="Comma">
      <totalsRowFormula>SUM(D4:D72)</totalsRowFormula>
    </tableColumn>
    <tableColumn id="4" xr3:uid="{E0272504-9330-403C-928B-E7709D697C27}" name="Column1" dataDxfId="55" totalsRowDxfId="5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ACCA9B-E6C0-4D10-8347-9059F889C466}" name="Table461647101322285303438424650545862667074788286909498102107112117122127132137142147157162172167177182187192202196204208212216220224228232236240244248252256260264268272276280284288292296300304308312316320324328332336340344348352356360364368372376380123" displayName="Table461647101322285303438424650545862667074788286909498102107112117122127132137142147157162172167177182187192202196204208212216220224228232236240244248252256260264268272276280284288292296300304308312316320324328332336340344348352356360364368372376380123" ref="F21:H32" totalsRowCount="1" headerRowDxfId="54" dataDxfId="53" totalsRowDxfId="52" headerRowBorderDxfId="50" tableBorderDxfId="51">
  <autoFilter ref="F21:H31" xr:uid="{8C0C4A59-C90E-4CC6-9162-528C1ED19B27}"/>
  <tableColumns count="3">
    <tableColumn id="1" xr3:uid="{27F9E17B-4D0D-4493-AC28-40E3CDCE4FAB}" name="RS" dataDxfId="48" totalsRowDxfId="49"/>
    <tableColumn id="2" xr3:uid="{A7C45573-D7AD-44CB-9C63-CC39343921A9}" name="NO" dataDxfId="46" totalsRowDxfId="47">
      <calculatedColumnFormula>G6+K6+L6</calculatedColumnFormula>
    </tableColumn>
    <tableColumn id="3" xr3:uid="{EDC54F9B-B132-4685-9B2A-ACC60F76BBDE}" name="TOTAL" totalsRowFunction="custom" dataDxfId="44" totalsRowDxfId="45" dataCellStyle="Comma">
      <calculatedColumnFormula>F22*G22</calculatedColumnFormula>
      <totalsRowFormula>SUM(Table461647101322285303438424650545862667074788286909498102107112117122127132137142147157162172167177182187192202196204208212216220224228232236240244248252256260264268272276280284288292296300304308312316320324328332336340344348352356360364368372376380123[TOTAL])</totalsRow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7C5210-EE94-4C37-AF8C-5E7D8197838B}" name="Table717682889610010612182430364248546066727884909610210811412012613213812182430364254486066727884909610210811412012613213814415012182430364842605466727884909610210811412012613213814461824303642485460667278849096102108114120126132138144150156182430364124" displayName="Table717682889610010612182430364248546066727884909610210811412012613213812182430364254486066727884909610210811412012613213814415012182430364842605466727884909610210811412012613213814461824303642485460667278849096102108114120126132138144150156182430364124" ref="J23:L32" totalsRowShown="0" headerRowDxfId="43" dataDxfId="42">
  <autoFilter ref="J23:L32" xr:uid="{98A9E476-9C3C-4696-AB50-9B33691C3AD2}"/>
  <tableColumns count="3">
    <tableColumn id="1" xr3:uid="{7BE55A18-1DB3-416D-88FE-A3773A95DEE9}" name="RS" dataDxfId="41"/>
    <tableColumn id="2" xr3:uid="{BE5BF5FF-D798-42DA-A646-2F68CF02312D}" name="NO" dataDxfId="40"/>
    <tableColumn id="3" xr3:uid="{D0B50345-6149-4A0B-904E-272C609E25CB}" name="TOTAL" dataDxfId="39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2FB89B-34FA-4033-839B-CC51197E3CDF}" name="Table727783899710110713192531374349556167737985919710310911512112713313913192531374355496167737985919710310911512112713313914515113192531374943615567737985919710310911512112713313914571925313743495561677379859197103109115121127133139145151157192531374125" displayName="Table727783899710110713192531374349556167737985919710310911512112713313913192531374355496167737985919710310911512112713313914515113192531374943615567737985919710310911512112713313914571925313743495561677379859197103109115121127133139145151157192531374125" ref="N23:P33" totalsRowShown="0" headerRowDxfId="38" dataDxfId="37">
  <autoFilter ref="N23:P33" xr:uid="{444775DC-7D06-4079-9455-0B51149FB0A3}"/>
  <tableColumns count="3">
    <tableColumn id="1" xr3:uid="{182052FC-DC43-411D-B4F2-65133B781D21}" name="RS" dataDxfId="36"/>
    <tableColumn id="2" xr3:uid="{11BB1253-9A10-4DBD-8F47-0CC476AB2C10}" name="NO" dataDxfId="35">
      <calculatedColumnFormula>300+200</calculatedColumnFormula>
    </tableColumn>
    <tableColumn id="3" xr3:uid="{C5F26266-F965-4164-9217-E363D055C9FC}" name="TOTAL" dataDxfId="34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71116D-940A-4AE4-98B7-35C26C414ACB}" name="Table415369122127253236404448525660646872768084889296100105110115120125130135140145155160170165175180185190200194198206210214218222226230234238242246250254258262266270274278282286290294298302306310314318322326330334338342346350354358362366370374378382126" displayName="Table415369122127253236404448525660646872768084889296100105110115120125130135140145155160170165175180185190200194198206210214218222226230234238242246250254258262266270274278282286290294298302306310314318322326330334338342346350354358362366370374378382126" ref="J5:Q16" totalsRowCount="1" headerRowDxfId="33" dataDxfId="32" totalsRowDxfId="31" headerRowBorderDxfId="29" tableBorderDxfId="30">
  <autoFilter ref="J5:Q15" xr:uid="{F142F192-2215-4400-9E32-796856F2F844}"/>
  <tableColumns count="8">
    <tableColumn id="1" xr3:uid="{4D653E38-3C1A-4749-AA21-9EE631C5DF32}" name="RS" dataDxfId="27" totalsRowDxfId="28"/>
    <tableColumn id="2" xr3:uid="{009D66B9-55E8-4090-8BCD-D0A99C245006}" name=" " totalsRowLabel="                              " dataDxfId="25" totalsRowDxfId="26"/>
    <tableColumn id="5" xr3:uid="{29B5DEDF-8F96-4A81-8226-826D3D2332CB}" name="COINS" totalsRowLabel="C" dataDxfId="23" totalsRowDxfId="24"/>
    <tableColumn id="3" xr3:uid="{1406C38F-088A-4037-9EE7-2B74BCE1E31C}" name="TOTAL" totalsRowFunction="sum" dataDxfId="21" totalsRowDxfId="22" dataCellStyle="Comma">
      <calculatedColumnFormula>SUM(Table415369122127253236404448525660646872768084889296100105110115120125130135140145155160170165175180185190200194198206210214218222226230234238242246250254258262266270274278282286290294298302306310314318322326330334338342346350354358362366370374378382126[[#This Row],[ ]]+Table415369122127253236404448525660646872768084889296100105110115120125130135140145155160170165175180185190200194198206210214218222226230234238242246250254258262266270274278282286290294298302306310314318322326330334338342346350354358362366370374378382126[[#This Row],[COINS]])*(Table415369122127253236404448525660646872768084889296100105110115120125130135140145155160170165175180185190200194198206210214218222226230234238242246250254258262266270274278282286290294298302306310314318322326330334338342346350354358362366370374378382126[[#This Row],[RS]])</calculatedColumnFormula>
    </tableColumn>
    <tableColumn id="4" xr3:uid="{03EA3E20-ABD8-4407-AF84-45953E94E038}" name="Column1" totalsRowLabel="C" dataDxfId="19" totalsRowDxfId="20"/>
    <tableColumn id="6" xr3:uid="{00A047D3-F880-40AA-A147-E517C3352C69}" name="Column2" dataDxfId="17" totalsRowDxfId="18"/>
    <tableColumn id="7" xr3:uid="{281D3AC7-C38F-4CE4-9307-16AB6BDD0AC8}" name="Column3" dataDxfId="15" totalsRowDxfId="16"/>
    <tableColumn id="8" xr3:uid="{FBC68133-01C2-4FFC-AFCF-0AC5C1C6D017}" name="Column4" dataDxfId="13" totalsRowDxfId="14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1FDC2F1-7BA5-4C66-97E9-F79863F244B8}" name="Table461647101322282933374145495357616569737781858993971011061111161211261311361411461561611711661761811861912011952032072112152192232272312352392432472512552592632672712752792832872912952993033073113153193233273313353393433473513553593633673713753793127" displayName="Table461647101322282933374145495357616569737781858993971011061111161211261311361411461561611711661761811861912011952032072112152192232272312352392432472512552592632672712752792832872912952993033073113153193233273313353393433473513553593633673713753793127" ref="F5:I16" totalsRowCount="1" headerRowDxfId="12" dataDxfId="11" totalsRowDxfId="10" headerRowBorderDxfId="8" tableBorderDxfId="9">
  <autoFilter ref="F5:I15" xr:uid="{FB54B48F-80BB-4D1D-838E-F9ABAB07D840}"/>
  <tableColumns count="4">
    <tableColumn id="1" xr3:uid="{39E1E1CF-ECDB-45E2-9B18-8BF45734067D}" name="RS" dataDxfId="6" totalsRowDxfId="7"/>
    <tableColumn id="2" xr3:uid="{2EB48C30-8C4C-4D2B-AD81-9013F6E8DBB2}" name="NO" dataDxfId="4" totalsRowDxfId="5"/>
    <tableColumn id="3" xr3:uid="{FFC64423-7748-4551-8981-708B7CBC1D3A}" name="TOTAL" totalsRowFunction="custom" dataDxfId="2" totalsRowDxfId="3" dataCellStyle="Comma">
      <calculatedColumnFormula>Table461647101322282933374145495357616569737781858993971011061111161211261311361411461561611711661761811861912011952032072112152192232272312352392432472512552592632672712752792832872912952993033073113153193233273313353393433473513553593633673713753793127[[#This Row],[NO]]*Table461647101322282933374145495357616569737781858993971011061111161211261311361411461561611711661761811861912011952032072112152192232272312352392432472512552592632672712752792832872912952993033073113153193233273313353393433473513553593633673713753793127[[#This Row],[RS]]</calculatedColumnFormula>
      <totalsRowFormula>SUM(Table461647101322282933374145495357616569737781858993971011061111161211261311361411461561611711661761811861912011952032072112152192232272312352392432472512552592632672712752792832872912952993033073113153193233273313353393433473513553593633673713753793127[TOTAL])</totalsRowFormula>
    </tableColumn>
    <tableColumn id="4" xr3:uid="{7FFCBC41-BD90-4D03-A637-73C8ABD3A231}" name="Column1" dataDxfId="0" totalsRow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73689-4CFC-4290-8BA4-A5B021F9084C}">
  <dimension ref="A1:W141"/>
  <sheetViews>
    <sheetView tabSelected="1" workbookViewId="0">
      <selection activeCell="B9" sqref="B9"/>
    </sheetView>
  </sheetViews>
  <sheetFormatPr defaultRowHeight="18.75" x14ac:dyDescent="0.3"/>
  <cols>
    <col min="1" max="1" width="2.7109375" style="1" customWidth="1"/>
    <col min="2" max="2" width="27.5703125" style="1" customWidth="1"/>
    <col min="3" max="3" width="25.140625" style="1" bestFit="1" customWidth="1"/>
    <col min="4" max="4" width="27.7109375" style="1" customWidth="1"/>
    <col min="5" max="5" width="19.140625" style="1" customWidth="1"/>
    <col min="6" max="6" width="19.28515625" style="1" customWidth="1"/>
    <col min="7" max="7" width="17" style="1" customWidth="1"/>
    <col min="8" max="8" width="20.7109375" style="1" bestFit="1" customWidth="1"/>
    <col min="9" max="9" width="20.7109375" style="2" customWidth="1"/>
    <col min="10" max="10" width="19.85546875" style="1" customWidth="1"/>
    <col min="11" max="11" width="10.7109375" style="1" customWidth="1"/>
    <col min="12" max="12" width="13.28515625" style="1" customWidth="1"/>
    <col min="13" max="13" width="25.5703125" style="1" customWidth="1"/>
    <col min="14" max="14" width="11.5703125" style="1" customWidth="1"/>
    <col min="15" max="15" width="14.28515625" style="1" bestFit="1" customWidth="1"/>
    <col min="16" max="16" width="18.5703125" style="1" bestFit="1" customWidth="1"/>
    <col min="17" max="17" width="12.5703125" style="1" customWidth="1"/>
    <col min="18" max="18" width="9.85546875" style="1" bestFit="1" customWidth="1"/>
    <col min="19" max="19" width="12.42578125" style="1" customWidth="1"/>
    <col min="20" max="20" width="18.7109375" style="1" customWidth="1"/>
    <col min="21" max="21" width="12.5703125" style="1" customWidth="1"/>
    <col min="22" max="23" width="12.140625" style="1" bestFit="1" customWidth="1"/>
    <col min="24" max="16384" width="9.140625" style="1"/>
  </cols>
  <sheetData>
    <row r="1" spans="2:21" ht="15" customHeight="1" x14ac:dyDescent="0.3"/>
    <row r="2" spans="2:21" x14ac:dyDescent="0.3">
      <c r="B2" s="3" t="s">
        <v>0</v>
      </c>
      <c r="C2" s="3"/>
      <c r="D2" s="3"/>
      <c r="H2" s="4"/>
      <c r="I2" s="5"/>
    </row>
    <row r="3" spans="2:21" ht="19.5" thickBot="1" x14ac:dyDescent="0.35">
      <c r="B3" s="6" t="s">
        <v>1</v>
      </c>
      <c r="C3" s="6" t="s">
        <v>2</v>
      </c>
      <c r="D3" s="6" t="s">
        <v>3</v>
      </c>
      <c r="E3" s="7" t="s">
        <v>4</v>
      </c>
    </row>
    <row r="4" spans="2:21" ht="19.5" thickBot="1" x14ac:dyDescent="0.35">
      <c r="B4" s="8">
        <v>1</v>
      </c>
      <c r="C4" s="9"/>
      <c r="D4" s="9"/>
      <c r="E4" s="10"/>
      <c r="F4" s="11" t="s">
        <v>5</v>
      </c>
      <c r="G4" s="12"/>
      <c r="H4" s="12"/>
      <c r="I4" s="13"/>
      <c r="J4" s="11" t="s">
        <v>6</v>
      </c>
      <c r="K4" s="12"/>
      <c r="L4" s="12"/>
      <c r="M4" s="14"/>
    </row>
    <row r="5" spans="2:21" x14ac:dyDescent="0.3">
      <c r="B5" s="8">
        <v>2</v>
      </c>
      <c r="C5" s="15"/>
      <c r="D5" s="15"/>
      <c r="E5" s="10"/>
      <c r="F5" s="16" t="s">
        <v>7</v>
      </c>
      <c r="G5" s="17" t="s">
        <v>8</v>
      </c>
      <c r="H5" s="18" t="s">
        <v>9</v>
      </c>
      <c r="I5" s="19" t="s">
        <v>4</v>
      </c>
      <c r="J5" s="16" t="s">
        <v>7</v>
      </c>
      <c r="K5" s="17" t="s">
        <v>10</v>
      </c>
      <c r="L5" s="18" t="s">
        <v>11</v>
      </c>
      <c r="M5" s="20" t="s">
        <v>9</v>
      </c>
      <c r="N5" s="21" t="s">
        <v>4</v>
      </c>
      <c r="O5" s="21" t="s">
        <v>12</v>
      </c>
      <c r="P5" s="21" t="s">
        <v>13</v>
      </c>
      <c r="Q5" s="21" t="s">
        <v>14</v>
      </c>
      <c r="R5" s="22"/>
      <c r="S5" s="22"/>
      <c r="T5" s="22"/>
      <c r="U5" s="22"/>
    </row>
    <row r="6" spans="2:21" x14ac:dyDescent="0.3">
      <c r="B6" s="8">
        <v>3</v>
      </c>
      <c r="C6" s="23"/>
      <c r="D6" s="24"/>
      <c r="E6" s="10"/>
      <c r="F6" s="25"/>
      <c r="G6" s="26"/>
      <c r="H6" s="27">
        <f>Table461647101322282933374145495357616569737781858993971011061111161211261311361411461561611711661761811861912011952032072112152192232272312352392432472512552592632672712752792832872912952993033073113153193233273313353393433473513553593633673713753793127[[#This Row],[NO]]*Table461647101322282933374145495357616569737781858993971011061111161211261311361411461561611711661761811861912011952032072112152192232272312352392432472512552592632672712752792832872912952993033073113153193233273313353393433473513553593633673713753793127[[#This Row],[RS]]</f>
        <v>0</v>
      </c>
      <c r="I6" s="28"/>
      <c r="J6" s="25"/>
      <c r="K6" s="26"/>
      <c r="L6" s="29"/>
      <c r="M6" s="30" t="s">
        <v>15</v>
      </c>
      <c r="N6" s="10"/>
      <c r="O6" s="10"/>
      <c r="P6" s="10"/>
      <c r="Q6" s="31"/>
      <c r="R6" s="32"/>
      <c r="S6" s="32"/>
      <c r="T6" s="32"/>
      <c r="U6" s="32"/>
    </row>
    <row r="7" spans="2:21" x14ac:dyDescent="0.3">
      <c r="B7" s="8">
        <v>4</v>
      </c>
      <c r="C7" s="23"/>
      <c r="D7" s="24"/>
      <c r="E7" s="33"/>
      <c r="F7" s="34">
        <v>500</v>
      </c>
      <c r="G7" s="35">
        <v>4200</v>
      </c>
      <c r="H7" s="27">
        <f>Table461647101322282933374145495357616569737781858993971011061111161211261311361411461561611711661761811861912011952032072112152192232272312352392432472512552592632672712752792832872912952993033073113153193233273313353393433473513553593633673713753793127[[#This Row],[NO]]*Table461647101322282933374145495357616569737781858993971011061111161211261311361411461561611711661761811861912011952032072112152192232272312352392432472512552592632672712752792832872912952993033073113153193233273313353393433473513553593633673713753793127[[#This Row],[RS]]</f>
        <v>2100000</v>
      </c>
      <c r="I7" s="36"/>
      <c r="J7" s="34">
        <v>500</v>
      </c>
      <c r="K7" s="26">
        <v>46</v>
      </c>
      <c r="L7" s="29"/>
      <c r="M7" s="30">
        <f>SUM(Table415369122127253236404448525660646872768084889296100105110115120125130135140145155160170165175180185190200194198206210214218222226230234238242246250254258262266270274278282286290294298302306310314318322326330334338342346350354358362366370374378382126[[#This Row],[ ]]+Table415369122127253236404448525660646872768084889296100105110115120125130135140145155160170165175180185190200194198206210214218222226230234238242246250254258262266270274278282286290294298302306310314318322326330334338342346350354358362366370374378382126[[#This Row],[COINS]])*(Table415369122127253236404448525660646872768084889296100105110115120125130135140145155160170165175180185190200194198206210214218222226230234238242246250254258262266270274278282286290294298302306310314318322326330334338342346350354358362366370374378382126[[#This Row],[RS]])</f>
        <v>23000</v>
      </c>
      <c r="N7" s="10"/>
      <c r="O7" s="37"/>
      <c r="P7" s="10"/>
      <c r="Q7" s="31"/>
      <c r="R7" s="32"/>
      <c r="S7" s="32"/>
      <c r="T7" s="32"/>
      <c r="U7" s="28"/>
    </row>
    <row r="8" spans="2:21" x14ac:dyDescent="0.3">
      <c r="B8" s="8">
        <v>5</v>
      </c>
      <c r="C8" s="15"/>
      <c r="D8" s="15"/>
      <c r="E8" s="36"/>
      <c r="F8" s="34">
        <v>200</v>
      </c>
      <c r="G8" s="35">
        <v>1300</v>
      </c>
      <c r="H8" s="27">
        <f>Table461647101322282933374145495357616569737781858993971011061111161211261311361411461561611711661761811861912011952032072112152192232272312352392432472512552592632672712752792832872912952993033073113153193233273313353393433473513553593633673713753793127[[#This Row],[NO]]*Table461647101322282933374145495357616569737781858993971011061111161211261311361411461561611711661761811861912011952032072112152192232272312352392432472512552592632672712752792832872912952993033073113153193233273313353393433473513553593633673713753793127[[#This Row],[RS]]</f>
        <v>260000</v>
      </c>
      <c r="I8" s="36"/>
      <c r="J8" s="34">
        <v>200</v>
      </c>
      <c r="K8" s="26">
        <v>87</v>
      </c>
      <c r="L8" s="29"/>
      <c r="M8" s="30">
        <f>SUM(Table415369122127253236404448525660646872768084889296100105110115120125130135140145155160170165175180185190200194198206210214218222226230234238242246250254258262266270274278282286290294298302306310314318322326330334338342346350354358362366370374378382126[[#This Row],[ ]]+Table415369122127253236404448525660646872768084889296100105110115120125130135140145155160170165175180185190200194198206210214218222226230234238242246250254258262266270274278282286290294298302306310314318322326330334338342346350354358362366370374378382126[[#This Row],[COINS]])*(Table415369122127253236404448525660646872768084889296100105110115120125130135140145155160170165175180185190200194198206210214218222226230234238242246250254258262266270274278282286290294298302306310314318322326330334338342346350354358362366370374378382126[[#This Row],[RS]])</f>
        <v>17400</v>
      </c>
      <c r="N8" s="10"/>
      <c r="O8" s="37"/>
      <c r="P8" s="10"/>
      <c r="Q8" s="31"/>
      <c r="R8" s="38"/>
      <c r="S8" s="32"/>
      <c r="T8" s="32"/>
      <c r="U8" s="28"/>
    </row>
    <row r="9" spans="2:21" x14ac:dyDescent="0.3">
      <c r="B9" s="8">
        <v>6</v>
      </c>
      <c r="C9" s="9"/>
      <c r="D9" s="9"/>
      <c r="E9" s="36"/>
      <c r="F9" s="34">
        <v>100</v>
      </c>
      <c r="G9" s="35">
        <v>5000</v>
      </c>
      <c r="H9" s="27">
        <f>Table461647101322282933374145495357616569737781858993971011061111161211261311361411461561611711661761811861912011952032072112152192232272312352392432472512552592632672712752792832872912952993033073113153193233273313353393433473513553593633673713753793127[[#This Row],[NO]]*Table461647101322282933374145495357616569737781858993971011061111161211261311361411461561611711661761811861912011952032072112152192232272312352392432472512552592632672712752792832872912952993033073113153193233273313353393433473513553593633673713753793127[[#This Row],[RS]]</f>
        <v>500000</v>
      </c>
      <c r="I9" s="36"/>
      <c r="J9" s="34">
        <v>100</v>
      </c>
      <c r="K9" s="26">
        <v>98</v>
      </c>
      <c r="L9" s="29"/>
      <c r="M9" s="30">
        <f>SUM(Table415369122127253236404448525660646872768084889296100105110115120125130135140145155160170165175180185190200194198206210214218222226230234238242246250254258262266270274278282286290294298302306310314318322326330334338342346350354358362366370374378382126[[#This Row],[ ]]+Table415369122127253236404448525660646872768084889296100105110115120125130135140145155160170165175180185190200194198206210214218222226230234238242246250254258262266270274278282286290294298302306310314318322326330334338342346350354358362366370374378382126[[#This Row],[COINS]])*(Table415369122127253236404448525660646872768084889296100105110115120125130135140145155160170165175180185190200194198206210214218222226230234238242246250254258262266270274278282286290294298302306310314318322326330334338342346350354358362366370374378382126[[#This Row],[RS]])</f>
        <v>9800</v>
      </c>
      <c r="N9" s="10"/>
      <c r="O9" s="37"/>
      <c r="P9" s="10"/>
      <c r="Q9" s="31"/>
      <c r="R9" s="38"/>
      <c r="S9" s="32"/>
      <c r="T9" s="32"/>
      <c r="U9" s="28"/>
    </row>
    <row r="10" spans="2:21" x14ac:dyDescent="0.3">
      <c r="B10" s="8">
        <v>7</v>
      </c>
      <c r="C10" s="9"/>
      <c r="D10" s="9"/>
      <c r="E10" s="36"/>
      <c r="F10" s="34">
        <v>50</v>
      </c>
      <c r="G10" s="35">
        <v>1400</v>
      </c>
      <c r="H10" s="27">
        <f>Table461647101322282933374145495357616569737781858993971011061111161211261311361411461561611711661761811861912011952032072112152192232272312352392432472512552592632672712752792832872912952993033073113153193233273313353393433473513553593633673713753793127[[#This Row],[NO]]*Table461647101322282933374145495357616569737781858993971011061111161211261311361411461561611711661761811861912011952032072112152192232272312352392432472512552592632672712752792832872912952993033073113153193233273313353393433473513553593633673713753793127[[#This Row],[RS]]</f>
        <v>70000</v>
      </c>
      <c r="I10" s="36"/>
      <c r="J10" s="34">
        <v>50</v>
      </c>
      <c r="K10" s="26">
        <v>4</v>
      </c>
      <c r="L10" s="29"/>
      <c r="M10" s="30">
        <f>SUM(Table415369122127253236404448525660646872768084889296100105110115120125130135140145155160170165175180185190200194198206210214218222226230234238242246250254258262266270274278282286290294298302306310314318322326330334338342346350354358362366370374378382126[[#This Row],[ ]]+Table415369122127253236404448525660646872768084889296100105110115120125130135140145155160170165175180185190200194198206210214218222226230234238242246250254258262266270274278282286290294298302306310314318322326330334338342346350354358362366370374378382126[[#This Row],[COINS]])*(Table415369122127253236404448525660646872768084889296100105110115120125130135140145155160170165175180185190200194198206210214218222226230234238242246250254258262266270274278282286290294298302306310314318322326330334338342346350354358362366370374378382126[[#This Row],[RS]])</f>
        <v>200</v>
      </c>
      <c r="N10" s="10"/>
      <c r="O10" s="37"/>
      <c r="P10" s="10"/>
      <c r="Q10" s="31"/>
      <c r="R10" s="38"/>
      <c r="S10" s="32"/>
      <c r="T10" s="32"/>
      <c r="U10" s="28"/>
    </row>
    <row r="11" spans="2:21" x14ac:dyDescent="0.3">
      <c r="B11" s="8">
        <v>8</v>
      </c>
      <c r="C11" s="9"/>
      <c r="D11" s="9"/>
      <c r="E11" s="36"/>
      <c r="F11" s="34">
        <v>20</v>
      </c>
      <c r="G11" s="35">
        <v>400</v>
      </c>
      <c r="H11" s="27">
        <f>Table461647101322282933374145495357616569737781858993971011061111161211261311361411461561611711661761811861912011952032072112152192232272312352392432472512552592632672712752792832872912952993033073113153193233273313353393433473513553593633673713753793127[[#This Row],[NO]]*Table461647101322282933374145495357616569737781858993971011061111161211261311361411461561611711661761811861912011952032072112152192232272312352392432472512552592632672712752792832872912952993033073113153193233273313353393433473513553593633673713753793127[[#This Row],[RS]]</f>
        <v>8000</v>
      </c>
      <c r="I11" s="28"/>
      <c r="J11" s="34">
        <v>20</v>
      </c>
      <c r="K11" s="26"/>
      <c r="L11" s="29">
        <v>1</v>
      </c>
      <c r="M11" s="30">
        <f>SUM(Table415369122127253236404448525660646872768084889296100105110115120125130135140145155160170165175180185190200194198206210214218222226230234238242246250254258262266270274278282286290294298302306310314318322326330334338342346350354358362366370374378382126[[#This Row],[ ]]+Table415369122127253236404448525660646872768084889296100105110115120125130135140145155160170165175180185190200194198206210214218222226230234238242246250254258262266270274278282286290294298302306310314318322326330334338342346350354358362366370374378382126[[#This Row],[COINS]])*(Table415369122127253236404448525660646872768084889296100105110115120125130135140145155160170165175180185190200194198206210214218222226230234238242246250254258262266270274278282286290294298302306310314318322326330334338342346350354358362366370374378382126[[#This Row],[RS]])</f>
        <v>20</v>
      </c>
      <c r="N11" s="10"/>
      <c r="O11" s="37"/>
      <c r="P11" s="10"/>
      <c r="Q11" s="31"/>
      <c r="R11" s="38"/>
      <c r="S11" s="32"/>
      <c r="T11" s="32"/>
      <c r="U11" s="28"/>
    </row>
    <row r="12" spans="2:21" ht="21.75" customHeight="1" x14ac:dyDescent="0.3">
      <c r="B12" s="8">
        <v>9</v>
      </c>
      <c r="C12" s="9"/>
      <c r="D12" s="39"/>
      <c r="E12" s="10"/>
      <c r="F12" s="34">
        <v>10</v>
      </c>
      <c r="G12" s="35">
        <v>2200</v>
      </c>
      <c r="H12" s="27">
        <f>Table461647101322282933374145495357616569737781858993971011061111161211261311361411461561611711661761811861912011952032072112152192232272312352392432472512552592632672712752792832872912952993033073113153193233273313353393433473513553593633673713753793127[[#This Row],[NO]]*Table461647101322282933374145495357616569737781858993971011061111161211261311361411461561611711661761811861912011952032072112152192232272312352392432472512552592632672712752792832872912952993033073113153193233273313353393433473513553593633673713753793127[[#This Row],[RS]]</f>
        <v>22000</v>
      </c>
      <c r="I12" s="28"/>
      <c r="J12" s="34">
        <v>10</v>
      </c>
      <c r="K12" s="26">
        <v>1</v>
      </c>
      <c r="L12" s="40">
        <v>133</v>
      </c>
      <c r="M12" s="30">
        <f>SUM(Table415369122127253236404448525660646872768084889296100105110115120125130135140145155160170165175180185190200194198206210214218222226230234238242246250254258262266270274278282286290294298302306310314318322326330334338342346350354358362366370374378382126[[#This Row],[ ]]+Table415369122127253236404448525660646872768084889296100105110115120125130135140145155160170165175180185190200194198206210214218222226230234238242246250254258262266270274278282286290294298302306310314318322326330334338342346350354358362366370374378382126[[#This Row],[COINS]])*(Table415369122127253236404448525660646872768084889296100105110115120125130135140145155160170165175180185190200194198206210214218222226230234238242246250254258262266270274278282286290294298302306310314318322326330334338342346350354358362366370374378382126[[#This Row],[RS]])</f>
        <v>1340</v>
      </c>
      <c r="N12" s="10"/>
      <c r="O12" s="37"/>
      <c r="P12" s="10"/>
      <c r="Q12" s="31"/>
      <c r="R12" s="38"/>
      <c r="S12" s="32"/>
      <c r="T12" s="32"/>
      <c r="U12" s="28"/>
    </row>
    <row r="13" spans="2:21" x14ac:dyDescent="0.3">
      <c r="B13" s="8">
        <v>10</v>
      </c>
      <c r="C13" s="9"/>
      <c r="D13" s="9"/>
      <c r="E13" s="10"/>
      <c r="F13" s="34">
        <v>5</v>
      </c>
      <c r="G13" s="26"/>
      <c r="H13" s="27">
        <f>Table461647101322282933374145495357616569737781858993971011061111161211261311361411461561611711661761811861912011952032072112152192232272312352392432472512552592632672712752792832872912952993033073113153193233273313353393433473513553593633673713753793127[[#This Row],[NO]]*Table461647101322282933374145495357616569737781858993971011061111161211261311361411461561611711661761811861912011952032072112152192232272312352392432472512552592632672712752792832872912952993033073113153193233273313353393433473513553593633673713753793127[[#This Row],[RS]]</f>
        <v>0</v>
      </c>
      <c r="I13" s="28"/>
      <c r="J13" s="34">
        <v>5</v>
      </c>
      <c r="K13" s="26"/>
      <c r="L13" s="29"/>
      <c r="M13" s="30">
        <f>SUM(Table415369122127253236404448525660646872768084889296100105110115120125130135140145155160170165175180185190200194198206210214218222226230234238242246250254258262266270274278282286290294298302306310314318322326330334338342346350354358362366370374378382126[[#This Row],[ ]]+Table415369122127253236404448525660646872768084889296100105110115120125130135140145155160170165175180185190200194198206210214218222226230234238242246250254258262266270274278282286290294298302306310314318322326330334338342346350354358362366370374378382126[[#This Row],[COINS]])*(Table415369122127253236404448525660646872768084889296100105110115120125130135140145155160170165175180185190200194198206210214218222226230234238242246250254258262266270274278282286290294298302306310314318322326330334338342346350354358362366370374378382126[[#This Row],[RS]])</f>
        <v>0</v>
      </c>
      <c r="N13" s="10"/>
      <c r="O13" s="37"/>
      <c r="P13" s="10"/>
      <c r="Q13" s="41"/>
      <c r="R13" s="38"/>
      <c r="S13" s="32"/>
      <c r="T13" s="42"/>
      <c r="U13" s="28"/>
    </row>
    <row r="14" spans="2:21" x14ac:dyDescent="0.3">
      <c r="B14" s="8">
        <v>11</v>
      </c>
      <c r="C14" s="9"/>
      <c r="D14" s="9"/>
      <c r="E14" s="10"/>
      <c r="F14" s="34">
        <v>2</v>
      </c>
      <c r="G14" s="26"/>
      <c r="H14" s="27">
        <f>Table461647101322282933374145495357616569737781858993971011061111161211261311361411461561611711661761811861912011952032072112152192232272312352392432472512552592632672712752792832872912952993033073113153193233273313353393433473513553593633673713753793127[[#This Row],[NO]]*Table461647101322282933374145495357616569737781858993971011061111161211261311361411461561611711661761811861912011952032072112152192232272312352392432472512552592632672712752792832872912952993033073113153193233273313353393433473513553593633673713753793127[[#This Row],[RS]]</f>
        <v>0</v>
      </c>
      <c r="I14" s="28"/>
      <c r="J14" s="34">
        <v>2</v>
      </c>
      <c r="K14" s="26"/>
      <c r="L14" s="29">
        <v>2</v>
      </c>
      <c r="M14" s="30">
        <f>SUM(Table415369122127253236404448525660646872768084889296100105110115120125130135140145155160170165175180185190200194198206210214218222226230234238242246250254258262266270274278282286290294298302306310314318322326330334338342346350354358362366370374378382126[[#This Row],[ ]]+Table415369122127253236404448525660646872768084889296100105110115120125130135140145155160170165175180185190200194198206210214218222226230234238242246250254258262266270274278282286290294298302306310314318322326330334338342346350354358362366370374378382126[[#This Row],[COINS]])*(Table415369122127253236404448525660646872768084889296100105110115120125130135140145155160170165175180185190200194198206210214218222226230234238242246250254258262266270274278282286290294298302306310314318322326330334338342346350354358362366370374378382126[[#This Row],[RS]])</f>
        <v>4</v>
      </c>
      <c r="N14" s="10"/>
      <c r="O14" s="37"/>
      <c r="P14" s="10"/>
      <c r="Q14" s="31"/>
      <c r="R14" s="38"/>
      <c r="S14" s="32"/>
      <c r="T14" s="32"/>
      <c r="U14" s="28"/>
    </row>
    <row r="15" spans="2:21" ht="19.5" thickBot="1" x14ac:dyDescent="0.35">
      <c r="B15" s="8">
        <v>12</v>
      </c>
      <c r="C15" s="9"/>
      <c r="D15" s="9"/>
      <c r="E15" s="10"/>
      <c r="F15" s="43">
        <v>1</v>
      </c>
      <c r="G15" s="44"/>
      <c r="H15" s="27">
        <f>Table461647101322282933374145495357616569737781858993971011061111161211261311361411461561611711661761811861912011952032072112152192232272312352392432472512552592632672712752792832872912952993033073113153193233273313353393433473513553593633673713753793127[[#This Row],[NO]]*Table461647101322282933374145495357616569737781858993971011061111161211261311361411461561611711661761811861912011952032072112152192232272312352392432472512552592632672712752792832872912952993033073113153193233273313353393433473513553593633673713753793127[[#This Row],[RS]]</f>
        <v>0</v>
      </c>
      <c r="I15" s="28"/>
      <c r="J15" s="43">
        <v>1</v>
      </c>
      <c r="K15" s="44"/>
      <c r="L15" s="45"/>
      <c r="M15" s="30">
        <f>SUM(Table415369122127253236404448525660646872768084889296100105110115120125130135140145155160170165175180185190200194198206210214218222226230234238242246250254258262266270274278282286290294298302306310314318322326330334338342346350354358362366370374378382126[[#This Row],[ ]]+Table415369122127253236404448525660646872768084889296100105110115120125130135140145155160170165175180185190200194198206210214218222226230234238242246250254258262266270274278282286290294298302306310314318322326330334338342346350354358362366370374378382126[[#This Row],[COINS]])*(Table415369122127253236404448525660646872768084889296100105110115120125130135140145155160170165175180185190200194198206210214218222226230234238242246250254258262266270274278282286290294298302306310314318322326330334338342346350354358362366370374378382126[[#This Row],[RS]])</f>
        <v>0</v>
      </c>
      <c r="N15" s="10"/>
      <c r="O15" s="37"/>
      <c r="P15" s="10"/>
      <c r="Q15" s="31"/>
      <c r="R15" s="38"/>
      <c r="S15" s="32"/>
      <c r="T15" s="32"/>
      <c r="U15" s="28"/>
    </row>
    <row r="16" spans="2:21" ht="19.5" thickBot="1" x14ac:dyDescent="0.35">
      <c r="B16" s="8">
        <v>13</v>
      </c>
      <c r="C16" s="9"/>
      <c r="D16" s="9"/>
      <c r="E16" s="10"/>
      <c r="F16" s="46"/>
      <c r="G16" s="47"/>
      <c r="H16" s="48">
        <f>SUM(Table461647101322282933374145495357616569737781858993971011061111161211261311361411461561611711661761811861912011952032072112152192232272312352392432472512552592632672712752792832872912952993033073113153193233273313353393433473513553593633673713753793127[TOTAL])</f>
        <v>2960000</v>
      </c>
      <c r="I16" s="49"/>
      <c r="J16" s="46"/>
      <c r="K16" s="47" t="s">
        <v>16</v>
      </c>
      <c r="L16" s="47" t="s">
        <v>17</v>
      </c>
      <c r="M16" s="50">
        <f>SUBTOTAL(109,Table415369122127253236404448525660646872768084889296100105110115120125130135140145155160170165175180185190200194198206210214218222226230234238242246250254258262266270274278282286290294298302306310314318322326330334338342346350354358362366370374378382126[TOTAL])</f>
        <v>51764</v>
      </c>
      <c r="N16" s="49" t="s">
        <v>17</v>
      </c>
      <c r="O16" s="49"/>
      <c r="P16" s="49"/>
      <c r="Q16" s="49"/>
      <c r="R16" s="38"/>
      <c r="S16" s="32"/>
      <c r="T16" s="32"/>
      <c r="U16" s="28"/>
    </row>
    <row r="17" spans="2:23" x14ac:dyDescent="0.3">
      <c r="B17" s="8">
        <v>14</v>
      </c>
      <c r="C17" s="9"/>
      <c r="D17" s="9"/>
      <c r="E17" s="10"/>
      <c r="O17" s="2"/>
      <c r="R17" s="32"/>
      <c r="S17" s="32"/>
      <c r="T17" s="32">
        <v>200000</v>
      </c>
      <c r="U17" s="32"/>
      <c r="V17" s="51"/>
    </row>
    <row r="18" spans="2:23" ht="19.5" thickBot="1" x14ac:dyDescent="0.35">
      <c r="B18" s="8">
        <v>15</v>
      </c>
      <c r="C18" s="9"/>
      <c r="D18" s="9"/>
      <c r="E18" s="10"/>
      <c r="T18" s="1">
        <v>114000</v>
      </c>
    </row>
    <row r="19" spans="2:23" ht="19.5" thickBot="1" x14ac:dyDescent="0.35">
      <c r="B19" s="8">
        <v>16</v>
      </c>
      <c r="C19" s="9"/>
      <c r="D19" s="9"/>
      <c r="E19" s="10"/>
      <c r="F19" s="52"/>
      <c r="G19" s="53"/>
      <c r="H19" s="54"/>
      <c r="I19" s="55"/>
      <c r="T19" s="1">
        <v>57000</v>
      </c>
    </row>
    <row r="20" spans="2:23" ht="19.5" thickBot="1" x14ac:dyDescent="0.35">
      <c r="B20" s="8">
        <v>17</v>
      </c>
      <c r="C20" s="9"/>
      <c r="D20" s="9"/>
      <c r="E20" s="10"/>
      <c r="F20" s="11" t="s">
        <v>18</v>
      </c>
      <c r="G20" s="12"/>
      <c r="H20" s="12"/>
      <c r="I20" s="13"/>
      <c r="T20" s="1">
        <v>114000</v>
      </c>
    </row>
    <row r="21" spans="2:23" ht="19.5" thickBot="1" x14ac:dyDescent="0.35">
      <c r="B21" s="8">
        <v>18</v>
      </c>
      <c r="C21" s="9"/>
      <c r="D21" s="9"/>
      <c r="E21" s="10"/>
      <c r="F21" s="56" t="s">
        <v>7</v>
      </c>
      <c r="G21" s="57" t="s">
        <v>8</v>
      </c>
      <c r="H21" s="58" t="s">
        <v>9</v>
      </c>
      <c r="T21" s="1">
        <v>204000</v>
      </c>
    </row>
    <row r="22" spans="2:23" x14ac:dyDescent="0.3">
      <c r="B22" s="8">
        <v>19</v>
      </c>
      <c r="C22" s="9"/>
      <c r="D22" s="9"/>
      <c r="E22" s="10"/>
      <c r="F22" s="59">
        <v>2000</v>
      </c>
      <c r="G22" s="60">
        <f t="shared" ref="G22:G31" si="0">G6+K6+L6</f>
        <v>0</v>
      </c>
      <c r="H22" s="61">
        <f t="shared" ref="H22:H31" si="1">F22*G22</f>
        <v>0</v>
      </c>
      <c r="I22" s="62"/>
      <c r="J22" s="63" t="s">
        <v>19</v>
      </c>
      <c r="K22" s="63"/>
      <c r="L22" s="64"/>
      <c r="N22" s="65" t="s">
        <v>20</v>
      </c>
      <c r="O22" s="66"/>
      <c r="P22" s="67"/>
      <c r="T22" s="1">
        <v>66000</v>
      </c>
      <c r="V22" s="68">
        <v>1000</v>
      </c>
      <c r="W22" s="68">
        <v>5000</v>
      </c>
    </row>
    <row r="23" spans="2:23" ht="19.5" thickBot="1" x14ac:dyDescent="0.35">
      <c r="B23" s="8">
        <v>20</v>
      </c>
      <c r="C23" s="9"/>
      <c r="D23" s="9"/>
      <c r="E23" s="10"/>
      <c r="F23" s="59">
        <v>500</v>
      </c>
      <c r="G23" s="60">
        <f>G7+K7+L7</f>
        <v>4246</v>
      </c>
      <c r="H23" s="61">
        <f t="shared" si="1"/>
        <v>2123000</v>
      </c>
      <c r="I23" s="62"/>
      <c r="J23" s="1" t="s">
        <v>7</v>
      </c>
      <c r="K23" s="1" t="s">
        <v>8</v>
      </c>
      <c r="L23" s="69" t="s">
        <v>9</v>
      </c>
      <c r="M23" s="70" t="s">
        <v>21</v>
      </c>
      <c r="N23" s="1" t="s">
        <v>7</v>
      </c>
      <c r="O23" s="1" t="s">
        <v>8</v>
      </c>
      <c r="P23" s="69" t="s">
        <v>9</v>
      </c>
      <c r="T23" s="1">
        <v>56000</v>
      </c>
      <c r="V23" s="71">
        <v>14500</v>
      </c>
      <c r="W23" s="71">
        <v>16900</v>
      </c>
    </row>
    <row r="24" spans="2:23" ht="19.5" thickBot="1" x14ac:dyDescent="0.35">
      <c r="B24" s="8">
        <v>21</v>
      </c>
      <c r="C24" s="9"/>
      <c r="D24" s="72"/>
      <c r="E24" s="10"/>
      <c r="F24" s="59">
        <v>200</v>
      </c>
      <c r="G24" s="60">
        <f t="shared" si="0"/>
        <v>1387</v>
      </c>
      <c r="H24" s="61">
        <f t="shared" si="1"/>
        <v>277400</v>
      </c>
      <c r="I24" s="62"/>
      <c r="J24" s="73">
        <v>500</v>
      </c>
      <c r="K24" s="74">
        <v>200</v>
      </c>
      <c r="L24" s="75">
        <f>Table717682889610010612182430364248546066727884909610210811412012613213812182430364254486066727884909610210811412012613213814415012182430364842605466727884909610210811412012613213814461824303642485460667278849096102108114120126132138144150156182430364124[[#This Row],[NO]]*Table717682889610010612182430364248546066727884909610210811412012613213812182430364254486066727884909610210811412012613213814415012182430364842605466727884909610210811412012613213814461824303642485460667278849096102108114120126132138144150156182430364124[[#This Row],[RS]]</f>
        <v>100000</v>
      </c>
      <c r="M24" s="35">
        <f>Table717682889610010612182430364248546066727884909610210811412012613213812182430364254486066727884909610210811412012613213814415012182430364842605466727884909610210811412012613213814461824303642485460667278849096102108114120126132138144150156182430364124[[#This Row],[NO]]-Table727783899710110713192531374349556167737985919710310911512112713313913192531374355496167737985919710310911512112713313914515113192531374943615567737985919710310911512112713313914571925313743495561677379859197103109115121127133139145151157192531374125[[#This Row],[NO]]</f>
        <v>0</v>
      </c>
      <c r="N24" s="73">
        <v>500</v>
      </c>
      <c r="O24" s="74">
        <v>200</v>
      </c>
      <c r="P24" s="75">
        <f>Table727783899710110713192531374349556167737985919710310911512112713313913192531374355496167737985919710310911512112713313914515113192531374943615567737985919710310911512112713313914571925313743495561677379859197103109115121127133139145151157192531374125[[#This Row],[NO]]*Table727783899710110713192531374349556167737985919710310911512112713313913192531374355496167737985919710310911512112713313914515113192531374943615567737985919710310911512112713313914571925313743495561677379859197103109115121127133139145151157192531374125[[#This Row],[RS]]</f>
        <v>100000</v>
      </c>
      <c r="V24" s="76">
        <v>4000</v>
      </c>
      <c r="W24" s="68">
        <v>15000</v>
      </c>
    </row>
    <row r="25" spans="2:23" ht="19.5" thickBot="1" x14ac:dyDescent="0.35">
      <c r="B25" s="8">
        <v>22</v>
      </c>
      <c r="C25" s="9"/>
      <c r="D25" s="9"/>
      <c r="E25" s="10"/>
      <c r="F25" s="59">
        <v>100</v>
      </c>
      <c r="G25" s="60">
        <f t="shared" si="0"/>
        <v>5098</v>
      </c>
      <c r="H25" s="61">
        <f t="shared" si="1"/>
        <v>509800</v>
      </c>
      <c r="I25" s="62"/>
      <c r="J25" s="73">
        <v>200</v>
      </c>
      <c r="K25" s="74">
        <v>0</v>
      </c>
      <c r="L25" s="75">
        <f>Table717682889610010612182430364248546066727884909610210811412012613213812182430364254486066727884909610210811412012613213814415012182430364842605466727884909610210811412012613213814461824303642485460667278849096102108114120126132138144150156182430364124[[#This Row],[NO]]*Table717682889610010612182430364248546066727884909610210811412012613213812182430364254486066727884909610210811412012613213814415012182430364842605466727884909610210811412012613213814461824303642485460667278849096102108114120126132138144150156182430364124[[#This Row],[RS]]</f>
        <v>0</v>
      </c>
      <c r="M25" s="35">
        <f>Table717682889610010612182430364248546066727884909610210811412012613213812182430364254486066727884909610210811412012613213814415012182430364842605466727884909610210811412012613213814461824303642485460667278849096102108114120126132138144150156182430364124[[#This Row],[NO]]-Table727783899710110713192531374349556167737985919710310911512112713313913192531374355496167737985919710310911512112713313914515113192531374943615567737985919710310911512112713313914571925313743495561677379859197103109115121127133139145151157192531374125[[#This Row],[NO]]</f>
        <v>0</v>
      </c>
      <c r="N25" s="73">
        <v>200</v>
      </c>
      <c r="O25" s="74"/>
      <c r="P25" s="75">
        <f>Table727783899710110713192531374349556167737985919710310911512112713313913192531374355496167737985919710310911512112713313914515113192531374943615567737985919710310911512112713313914571925313743495561677379859197103109115121127133139145151157192531374125[[#This Row],[NO]]*Table727783899710110713192531374349556167737985919710310911512112713313913192531374355496167737985919710310911512112713313914515113192531374943615567737985919710310911512112713313914571925313743495561677379859197103109115121127133139145151157192531374125[[#This Row],[RS]]</f>
        <v>0</v>
      </c>
      <c r="S25" s="77"/>
      <c r="V25" s="78">
        <v>5000</v>
      </c>
      <c r="W25" s="71">
        <v>12000</v>
      </c>
    </row>
    <row r="26" spans="2:23" x14ac:dyDescent="0.3">
      <c r="B26" s="8">
        <v>23</v>
      </c>
      <c r="C26" s="9"/>
      <c r="D26" s="9"/>
      <c r="E26" s="10"/>
      <c r="F26" s="59">
        <v>50</v>
      </c>
      <c r="G26" s="60">
        <f t="shared" si="0"/>
        <v>1404</v>
      </c>
      <c r="H26" s="61">
        <f t="shared" si="1"/>
        <v>70200</v>
      </c>
      <c r="I26" s="62"/>
      <c r="J26" s="73">
        <v>100</v>
      </c>
      <c r="K26" s="74">
        <v>100</v>
      </c>
      <c r="L26" s="75">
        <f>Table717682889610010612182430364248546066727884909610210811412012613213812182430364254486066727884909610210811412012613213814415012182430364842605466727884909610210811412012613213814461824303642485460667278849096102108114120126132138144150156182430364124[[#This Row],[NO]]*Table717682889610010612182430364248546066727884909610210811412012613213812182430364254486066727884909610210811412012613213814415012182430364842605466727884909610210811412012613213814461824303642485460667278849096102108114120126132138144150156182430364124[[#This Row],[RS]]</f>
        <v>10000</v>
      </c>
      <c r="M26" s="35">
        <f>Table717682889610010612182430364248546066727884909610210811412012613213812182430364254486066727884909610210811412012613213814415012182430364842605466727884909610210811412012613213814461824303642485460667278849096102108114120126132138144150156182430364124[[#This Row],[NO]]-Table727783899710110713192531374349556167737985919710310911512112713313913192531374355496167737985919710310911512112713313914515113192531374943615567737985919710310911512112713313914571925313743495561677379859197103109115121127133139145151157192531374125[[#This Row],[NO]]</f>
        <v>100</v>
      </c>
      <c r="N26" s="73">
        <v>100</v>
      </c>
      <c r="O26" s="74"/>
      <c r="P26" s="75">
        <f>Table727783899710110713192531374349556167737985919710310911512112713313913192531374355496167737985919710310911512112713313914515113192531374943615567737985919710310911512112713313914571925313743495561677379859197103109115121127133139145151157192531374125[[#This Row],[NO]]*Table727783899710110713192531374349556167737985919710310911512112713313913192531374355496167737985919710310911512112713313914515113192531374943615567737985919710310911512112713313914571925313743495561677379859197103109115121127133139145151157192531374125[[#This Row],[RS]]</f>
        <v>0</v>
      </c>
      <c r="R26" s="79" t="s">
        <v>22</v>
      </c>
      <c r="S26" s="79"/>
      <c r="T26" s="79"/>
      <c r="V26" s="68">
        <v>29300</v>
      </c>
      <c r="W26" s="68">
        <v>55000</v>
      </c>
    </row>
    <row r="27" spans="2:23" x14ac:dyDescent="0.3">
      <c r="B27" s="8">
        <v>24</v>
      </c>
      <c r="C27" s="9"/>
      <c r="D27" s="9"/>
      <c r="E27" s="10"/>
      <c r="F27" s="59">
        <v>20</v>
      </c>
      <c r="G27" s="60">
        <f t="shared" si="0"/>
        <v>401</v>
      </c>
      <c r="H27" s="61">
        <f t="shared" si="1"/>
        <v>8020</v>
      </c>
      <c r="I27" s="62"/>
      <c r="J27" s="73">
        <v>50</v>
      </c>
      <c r="K27" s="80">
        <v>0</v>
      </c>
      <c r="L27" s="81">
        <f>Table717682889610010612182430364248546066727884909610210811412012613213812182430364254486066727884909610210811412012613213814415012182430364842605466727884909610210811412012613213814461824303642485460667278849096102108114120126132138144150156182430364124[[#This Row],[NO]]*Table717682889610010612182430364248546066727884909610210811412012613213812182430364254486066727884909610210811412012613213814415012182430364842605466727884909610210811412012613213814461824303642485460667278849096102108114120126132138144150156182430364124[[#This Row],[RS]]</f>
        <v>0</v>
      </c>
      <c r="M27" s="35">
        <f>Table717682889610010612182430364248546066727884909610210811412012613213812182430364254486066727884909610210811412012613213814415012182430364842605466727884909610210811412012613213814461824303642485460667278849096102108114120126132138144150156182430364124[[#This Row],[NO]]-Table727783899710110713192531374349556167737985919710310911512112713313913192531374355496167737985919710310911512112713313914515113192531374943615567737985919710310911512112713313914571925313743495561677379859197103109115121127133139145151157192531374125[[#This Row],[NO]]</f>
        <v>0</v>
      </c>
      <c r="N27" s="73">
        <v>50</v>
      </c>
      <c r="O27" s="35"/>
      <c r="P27" s="81">
        <f>Table727783899710110713192531374349556167737985919710310911512112713313913192531374355496167737985919710310911512112713313914515113192531374943615567737985919710310911512112713313914571925313743495561677379859197103109115121127133139145151157192531374125[[#This Row],[NO]]*Table727783899710110713192531374349556167737985919710310911512112713313913192531374355496167737985919710310911512112713313914515113192531374943615567737985919710310911512112713313914571925313743495561677379859197103109115121127133139145151157192531374125[[#This Row],[RS]]</f>
        <v>0</v>
      </c>
      <c r="R27" s="82"/>
      <c r="S27" s="82"/>
      <c r="T27" s="82"/>
      <c r="V27" s="71">
        <v>282850</v>
      </c>
      <c r="W27" s="83">
        <v>1000</v>
      </c>
    </row>
    <row r="28" spans="2:23" x14ac:dyDescent="0.3">
      <c r="B28" s="8">
        <v>25</v>
      </c>
      <c r="C28" s="9"/>
      <c r="D28" s="9"/>
      <c r="E28" s="10"/>
      <c r="F28" s="59">
        <v>10</v>
      </c>
      <c r="G28" s="60">
        <f t="shared" si="0"/>
        <v>2334</v>
      </c>
      <c r="H28" s="61">
        <f t="shared" si="1"/>
        <v>23340</v>
      </c>
      <c r="I28" s="62"/>
      <c r="J28" s="73">
        <v>20</v>
      </c>
      <c r="K28" s="80"/>
      <c r="L28" s="81">
        <f>Table717682889610010612182430364248546066727884909610210811412012613213812182430364254486066727884909610210811412012613213814415012182430364842605466727884909610210811412012613213814461824303642485460667278849096102108114120126132138144150156182430364124[[#This Row],[NO]]*Table717682889610010612182430364248546066727884909610210811412012613213812182430364254486066727884909610210811412012613213814415012182430364842605466727884909610210811412012613213814461824303642485460667278849096102108114120126132138144150156182430364124[[#This Row],[RS]]</f>
        <v>0</v>
      </c>
      <c r="M28" s="35">
        <f>Table717682889610010612182430364248546066727884909610210811412012613213812182430364254486066727884909610210811412012613213814415012182430364842605466727884909610210811412012613213814461824303642485460667278849096102108114120126132138144150156182430364124[[#This Row],[NO]]-Table727783899710110713192531374349556167737985919710310911512112713313913192531374355496167737985919710310911512112713313914515113192531374943615567737985919710310911512112713313914571925313743495561677379859197103109115121127133139145151157192531374125[[#This Row],[NO]]</f>
        <v>0</v>
      </c>
      <c r="N28" s="73">
        <v>20</v>
      </c>
      <c r="O28" s="35"/>
      <c r="P28" s="81">
        <f>Table727783899710110713192531374349556167737985919710310911512112713313913192531374355496167737985919710310911512112713313914515113192531374943615567737985919710310911512112713313914571925313743495561677379859197103109115121127133139145151157192531374125[[#This Row],[NO]]*Table727783899710110713192531374349556167737985919710310911512112713313913192531374355496167737985919710310911512112713313914515113192531374943615567737985919710310911512112713313914571925313743495561677379859197103109115121127133139145151157192531374125[[#This Row],[RS]]</f>
        <v>0</v>
      </c>
      <c r="R28" s="82"/>
      <c r="S28" s="82"/>
      <c r="T28" s="82"/>
      <c r="V28" s="68">
        <v>44550</v>
      </c>
      <c r="W28" s="68">
        <v>60000</v>
      </c>
    </row>
    <row r="29" spans="2:23" x14ac:dyDescent="0.3">
      <c r="B29" s="8">
        <v>26</v>
      </c>
      <c r="C29" s="9"/>
      <c r="D29" s="9"/>
      <c r="E29" s="10"/>
      <c r="F29" s="59">
        <v>5</v>
      </c>
      <c r="G29" s="60">
        <f t="shared" si="0"/>
        <v>0</v>
      </c>
      <c r="H29" s="61">
        <f t="shared" si="1"/>
        <v>0</v>
      </c>
      <c r="I29" s="62"/>
      <c r="J29" s="73">
        <v>10</v>
      </c>
      <c r="K29" s="80"/>
      <c r="L29" s="81">
        <f>Table717682889610010612182430364248546066727884909610210811412012613213812182430364254486066727884909610210811412012613213814415012182430364842605466727884909610210811412012613213814461824303642485460667278849096102108114120126132138144150156182430364124[[#This Row],[NO]]*Table717682889610010612182430364248546066727884909610210811412012613213812182430364254486066727884909610210811412012613213814415012182430364842605466727884909610210811412012613213814461824303642485460667278849096102108114120126132138144150156182430364124[[#This Row],[RS]]</f>
        <v>0</v>
      </c>
      <c r="M29" s="35">
        <f>Table717682889610010612182430364248546066727884909610210811412012613213812182430364254486066727884909610210811412012613213814415012182430364842605466727884909610210811412012613213814461824303642485460667278849096102108114120126132138144150156182430364124[[#This Row],[NO]]-Table727783899710110713192531374349556167737985919710310911512112713313913192531374355496167737985919710310911512112713313914515113192531374943615567737985919710310911512112713313914571925313743495561677379859197103109115121127133139145151157192531374125[[#This Row],[NO]]</f>
        <v>0</v>
      </c>
      <c r="N29" s="73">
        <v>10</v>
      </c>
      <c r="O29" s="35"/>
      <c r="P29" s="81">
        <f>Table727783899710110713192531374349556167737985919710310911512112713313913192531374355496167737985919710310911512112713313914515113192531374943615567737985919710310911512112713313914571925313743495561677379859197103109115121127133139145151157192531374125[[#This Row],[NO]]*Table727783899710110713192531374349556167737985919710310911512112713313913192531374355496167737985919710310911512112713313914515113192531374943615567737985919710310911512112713313914571925313743495561677379859197103109115121127133139145151157192531374125[[#This Row],[RS]]</f>
        <v>0</v>
      </c>
      <c r="V29" s="71">
        <v>500</v>
      </c>
      <c r="W29" s="71">
        <v>30000</v>
      </c>
    </row>
    <row r="30" spans="2:23" x14ac:dyDescent="0.3">
      <c r="B30" s="8">
        <v>27</v>
      </c>
      <c r="C30" s="9"/>
      <c r="D30" s="9"/>
      <c r="E30" s="10"/>
      <c r="F30" s="59">
        <v>2</v>
      </c>
      <c r="G30" s="60">
        <f t="shared" si="0"/>
        <v>2</v>
      </c>
      <c r="H30" s="61">
        <f t="shared" si="1"/>
        <v>4</v>
      </c>
      <c r="I30" s="62"/>
      <c r="J30" s="73">
        <v>5</v>
      </c>
      <c r="K30" s="80"/>
      <c r="L30" s="81">
        <f>Table717682889610010612182430364248546066727884909610210811412012613213812182430364254486066727884909610210811412012613213814415012182430364842605466727884909610210811412012613213814461824303642485460667278849096102108114120126132138144150156182430364124[[#This Row],[NO]]*Table717682889610010612182430364248546066727884909610210811412012613213812182430364254486066727884909610210811412012613213814415012182430364842605466727884909610210811412012613213814461824303642485460667278849096102108114120126132138144150156182430364124[[#This Row],[RS]]</f>
        <v>0</v>
      </c>
      <c r="M30" s="35">
        <f>Table717682889610010612182430364248546066727884909610210811412012613213812182430364254486066727884909610210811412012613213814415012182430364842605466727884909610210811412012613213814461824303642485460667278849096102108114120126132138144150156182430364124[[#This Row],[NO]]-Table727783899710110713192531374349556167737985919710310911512112713313913192531374355496167737985919710310911512112713313914515113192531374943615567737985919710310911512112713313914571925313743495561677379859197103109115121127133139145151157192531374125[[#This Row],[NO]]</f>
        <v>0</v>
      </c>
      <c r="N30" s="73">
        <v>5</v>
      </c>
      <c r="O30" s="74"/>
      <c r="P30" s="81">
        <f>Table727783899710110713192531374349556167737985919710310911512112713313913192531374355496167737985919710310911512112713313914515113192531374943615567737985919710310911512112713313914571925313743495561677379859197103109115121127133139145151157192531374125[[#This Row],[NO]]*Table727783899710110713192531374349556167737985919710310911512112713313913192531374355496167737985919710310911512112713313914515113192531374943615567737985919710310911512112713313914571925313743495561677379859197103109115121127133139145151157192531374125[[#This Row],[RS]]</f>
        <v>0</v>
      </c>
      <c r="V30" s="68">
        <v>100</v>
      </c>
      <c r="W30" s="68">
        <v>500000</v>
      </c>
    </row>
    <row r="31" spans="2:23" ht="19.5" thickBot="1" x14ac:dyDescent="0.35">
      <c r="B31" s="8">
        <v>28</v>
      </c>
      <c r="C31" s="9"/>
      <c r="D31" s="9"/>
      <c r="E31" s="10"/>
      <c r="F31" s="84">
        <v>1</v>
      </c>
      <c r="G31" s="60">
        <f t="shared" si="0"/>
        <v>0</v>
      </c>
      <c r="H31" s="85">
        <f t="shared" si="1"/>
        <v>0</v>
      </c>
      <c r="I31" s="62"/>
      <c r="J31" s="86"/>
      <c r="K31" s="87"/>
      <c r="L31" s="88">
        <f>Table717682889610010612182430364248546066727884909610210811412012613213812182430364254486066727884909610210811412012613213814415012182430364842605466727884909610210811412012613213814461824303642485460667278849096102108114120126132138144150156182430364124[[#This Row],[NO]]*Table717682889610010612182430364248546066727884909610210811412012613213812182430364254486066727884909610210811412012613213814415012182430364842605466727884909610210811412012613213814461824303642485460667278849096102108114120126132138144150156182430364124[[#This Row],[RS]]</f>
        <v>0</v>
      </c>
      <c r="M31" s="35">
        <f>Table717682889610010612182430364248546066727884909610210811412012613213812182430364254486066727884909610210811412012613213814415012182430364842605466727884909610210811412012613213814461824303642485460667278849096102108114120126132138144150156182430364124[[#This Row],[NO]]-Table727783899710110713192531374349556167737985919710310911512112713313913192531374355496167737985919710310911512112713313914515113192531374943615567737985919710310911512112713313914571925313743495561677379859197103109115121127133139145151157192531374125[[#This Row],[NO]]</f>
        <v>0</v>
      </c>
      <c r="N31" s="89"/>
      <c r="O31" s="74"/>
      <c r="P31" s="81">
        <f>Table727783899710110713192531374349556167737985919710310911512112713313913192531374355496167737985919710310911512112713313914515113192531374943615567737985919710310911512112713313914571925313743495561677379859197103109115121127133139145151157192531374125[[#This Row],[NO]]*Table727783899710110713192531374349556167737985919710310911512112713313913192531374355496167737985919710310911512112713313914515113192531374943615567737985919710310911512112713313914571925313743495561677379859197103109115121127133139145151157192531374125[[#This Row],[RS]]</f>
        <v>0</v>
      </c>
      <c r="V31" s="71">
        <v>12454</v>
      </c>
      <c r="W31" s="71">
        <v>250000</v>
      </c>
    </row>
    <row r="32" spans="2:23" ht="19.5" thickBot="1" x14ac:dyDescent="0.35">
      <c r="B32" s="8">
        <v>29</v>
      </c>
      <c r="C32" s="9"/>
      <c r="D32" s="9"/>
      <c r="E32" s="10"/>
      <c r="F32" s="90"/>
      <c r="H32" s="91">
        <f>SUM(Table461647101322285303438424650545862667074788286909498102107112117122127132137142147157162172167177182187192202196204208212216220224228232236240244248252256260264268272276280284288292296300304308312316320324328332336340344348352356360364368372376380123[TOTAL])</f>
        <v>3011764</v>
      </c>
      <c r="I32" s="92"/>
      <c r="J32" s="93" t="s">
        <v>23</v>
      </c>
      <c r="K32" s="94"/>
      <c r="L32" s="95">
        <f>SUM(L24:L31)</f>
        <v>110000</v>
      </c>
      <c r="M32" s="35"/>
      <c r="N32" s="96" t="s">
        <v>20</v>
      </c>
      <c r="O32" s="97"/>
      <c r="P32" s="98">
        <f>SUM(P24:P31)</f>
        <v>100000</v>
      </c>
      <c r="V32" s="68">
        <v>13000</v>
      </c>
      <c r="W32" s="68">
        <v>584000</v>
      </c>
    </row>
    <row r="33" spans="2:23" ht="19.5" thickBot="1" x14ac:dyDescent="0.35">
      <c r="B33" s="8">
        <v>30</v>
      </c>
      <c r="C33" s="9"/>
      <c r="D33" s="9"/>
      <c r="E33" s="10"/>
      <c r="H33" s="99">
        <v>2854584</v>
      </c>
      <c r="I33" s="100"/>
      <c r="N33" s="101" t="s">
        <v>24</v>
      </c>
      <c r="O33" s="101"/>
      <c r="P33" s="102">
        <f>L32-P32</f>
        <v>10000</v>
      </c>
      <c r="V33" s="71">
        <v>1000</v>
      </c>
      <c r="W33" s="71">
        <v>1100</v>
      </c>
    </row>
    <row r="34" spans="2:23" x14ac:dyDescent="0.3">
      <c r="B34" s="8">
        <v>31</v>
      </c>
      <c r="C34" s="9"/>
      <c r="D34" s="9"/>
      <c r="E34" s="10"/>
      <c r="H34"/>
      <c r="I34" s="103"/>
      <c r="V34" s="68">
        <v>28000</v>
      </c>
      <c r="W34" s="68">
        <v>7000</v>
      </c>
    </row>
    <row r="35" spans="2:23" x14ac:dyDescent="0.3">
      <c r="B35" s="8">
        <v>32</v>
      </c>
      <c r="C35" s="9"/>
      <c r="D35" s="9"/>
      <c r="E35" s="10"/>
      <c r="H35"/>
      <c r="I35" s="103"/>
      <c r="V35" s="71">
        <v>600</v>
      </c>
      <c r="W35" s="71">
        <v>65921</v>
      </c>
    </row>
    <row r="36" spans="2:23" x14ac:dyDescent="0.3">
      <c r="B36" s="8">
        <v>33</v>
      </c>
      <c r="C36" s="9"/>
      <c r="D36" s="9"/>
      <c r="E36" s="10"/>
      <c r="F36" s="104"/>
      <c r="G36" s="104"/>
      <c r="H36" s="105"/>
      <c r="I36" s="106"/>
      <c r="V36" s="68">
        <v>5000</v>
      </c>
      <c r="W36" s="107">
        <v>758</v>
      </c>
    </row>
    <row r="37" spans="2:23" x14ac:dyDescent="0.3">
      <c r="B37" s="8">
        <v>34</v>
      </c>
      <c r="C37" s="9"/>
      <c r="D37" s="9"/>
      <c r="E37" s="10"/>
      <c r="G37" s="108"/>
      <c r="V37" s="71">
        <v>6000</v>
      </c>
      <c r="W37" s="71">
        <v>93327</v>
      </c>
    </row>
    <row r="38" spans="2:23" x14ac:dyDescent="0.3">
      <c r="B38" s="8">
        <v>35</v>
      </c>
      <c r="C38" s="9"/>
      <c r="D38" s="109"/>
      <c r="E38" s="10"/>
      <c r="F38" s="110"/>
      <c r="G38" s="111"/>
      <c r="H38" s="112"/>
      <c r="I38" s="113"/>
      <c r="O38" s="77"/>
      <c r="V38" s="68">
        <v>600</v>
      </c>
      <c r="W38" s="68">
        <v>12000</v>
      </c>
    </row>
    <row r="39" spans="2:23" x14ac:dyDescent="0.3">
      <c r="B39" s="8">
        <v>36</v>
      </c>
      <c r="C39" s="9"/>
      <c r="D39" s="109"/>
      <c r="E39" s="10"/>
      <c r="G39" s="99"/>
      <c r="V39" s="71">
        <v>5000</v>
      </c>
      <c r="W39" s="71">
        <v>10000</v>
      </c>
    </row>
    <row r="40" spans="2:23" x14ac:dyDescent="0.3">
      <c r="B40" s="8">
        <v>37</v>
      </c>
      <c r="C40" s="9"/>
      <c r="D40" s="72"/>
      <c r="E40" s="10"/>
      <c r="F40" s="77"/>
      <c r="G40" s="111"/>
      <c r="H40" s="108"/>
      <c r="I40" s="114"/>
      <c r="V40" s="68">
        <v>1000</v>
      </c>
      <c r="W40" s="68">
        <v>25900</v>
      </c>
    </row>
    <row r="41" spans="2:23" x14ac:dyDescent="0.3">
      <c r="B41" s="8">
        <v>38</v>
      </c>
      <c r="C41" s="9"/>
      <c r="D41" s="109"/>
      <c r="E41" s="10"/>
      <c r="G41" s="111"/>
      <c r="H41" s="108"/>
      <c r="I41" s="114"/>
      <c r="V41" s="71">
        <v>30950</v>
      </c>
      <c r="W41" s="71">
        <v>3000</v>
      </c>
    </row>
    <row r="42" spans="2:23" x14ac:dyDescent="0.3">
      <c r="B42" s="8">
        <v>39</v>
      </c>
      <c r="C42" s="72"/>
      <c r="D42" s="72"/>
      <c r="E42" s="10"/>
      <c r="F42" s="77"/>
      <c r="G42" s="77"/>
      <c r="H42" s="108"/>
      <c r="I42" s="114"/>
      <c r="V42" s="68">
        <v>1100</v>
      </c>
      <c r="W42" s="68">
        <v>5000</v>
      </c>
    </row>
    <row r="43" spans="2:23" x14ac:dyDescent="0.3">
      <c r="B43" s="8">
        <v>40</v>
      </c>
      <c r="C43" s="9"/>
      <c r="D43" s="72"/>
      <c r="E43" s="10"/>
      <c r="G43" s="108"/>
      <c r="V43" s="71">
        <v>34411</v>
      </c>
      <c r="W43" s="71">
        <v>600</v>
      </c>
    </row>
    <row r="44" spans="2:23" x14ac:dyDescent="0.3">
      <c r="B44" s="8">
        <v>41</v>
      </c>
      <c r="C44" s="9"/>
      <c r="D44" s="109"/>
      <c r="E44" s="10"/>
      <c r="H44" s="115"/>
      <c r="I44" s="116"/>
      <c r="V44" s="68">
        <v>11001</v>
      </c>
      <c r="W44" s="68"/>
    </row>
    <row r="45" spans="2:23" x14ac:dyDescent="0.3">
      <c r="B45" s="8">
        <v>42</v>
      </c>
      <c r="C45" s="72"/>
      <c r="D45" s="72"/>
      <c r="E45" s="10"/>
      <c r="G45" s="77"/>
      <c r="J45" s="117"/>
      <c r="V45" s="71">
        <v>8978</v>
      </c>
      <c r="W45" s="71"/>
    </row>
    <row r="46" spans="2:23" x14ac:dyDescent="0.3">
      <c r="B46" s="8">
        <v>43</v>
      </c>
      <c r="C46" s="72"/>
      <c r="D46" s="72"/>
      <c r="E46" s="10"/>
      <c r="F46" s="118"/>
      <c r="G46" s="119"/>
      <c r="V46" s="68">
        <v>8063</v>
      </c>
      <c r="W46" s="68"/>
    </row>
    <row r="47" spans="2:23" ht="23.25" x14ac:dyDescent="0.35">
      <c r="B47" s="8">
        <v>44</v>
      </c>
      <c r="C47" s="72"/>
      <c r="D47" s="72"/>
      <c r="E47" s="10"/>
      <c r="F47" s="120"/>
      <c r="G47" s="77"/>
      <c r="V47" s="71">
        <v>7927</v>
      </c>
      <c r="W47" s="71"/>
    </row>
    <row r="48" spans="2:23" ht="23.25" x14ac:dyDescent="0.35">
      <c r="B48" s="8">
        <v>45</v>
      </c>
      <c r="C48" s="72"/>
      <c r="D48" s="72"/>
      <c r="E48" s="10"/>
      <c r="F48" s="120"/>
      <c r="G48" s="119"/>
      <c r="V48" s="68">
        <v>9846</v>
      </c>
      <c r="W48" s="68"/>
    </row>
    <row r="49" spans="2:23" x14ac:dyDescent="0.3">
      <c r="B49" s="8">
        <v>46</v>
      </c>
      <c r="C49" s="72"/>
      <c r="D49" s="72"/>
      <c r="E49" s="10"/>
      <c r="F49" s="121"/>
      <c r="G49" s="122"/>
      <c r="V49" s="71">
        <v>640</v>
      </c>
      <c r="W49" s="71"/>
    </row>
    <row r="50" spans="2:23" ht="19.5" thickBot="1" x14ac:dyDescent="0.35">
      <c r="B50" s="8">
        <v>47</v>
      </c>
      <c r="C50" s="72"/>
      <c r="D50" s="72"/>
      <c r="E50" s="123"/>
      <c r="F50" s="121"/>
      <c r="G50" s="119"/>
      <c r="K50" s="77"/>
      <c r="V50" s="68">
        <v>86140</v>
      </c>
      <c r="W50" s="68"/>
    </row>
    <row r="51" spans="2:23" x14ac:dyDescent="0.3">
      <c r="B51" s="8">
        <v>48</v>
      </c>
      <c r="C51" s="72"/>
      <c r="D51" s="72"/>
      <c r="E51" s="123"/>
      <c r="F51" s="124"/>
      <c r="G51" s="122"/>
      <c r="H51" s="125"/>
      <c r="I51" s="126"/>
      <c r="J51" s="125"/>
      <c r="V51" s="71">
        <v>41000</v>
      </c>
      <c r="W51" s="71"/>
    </row>
    <row r="52" spans="2:23" x14ac:dyDescent="0.3">
      <c r="B52" s="8">
        <v>49</v>
      </c>
      <c r="C52" s="72"/>
      <c r="D52" s="72"/>
      <c r="E52" s="123"/>
      <c r="F52" s="121"/>
      <c r="G52" s="119"/>
      <c r="H52" s="125"/>
      <c r="I52" s="126"/>
      <c r="V52" s="68">
        <v>250</v>
      </c>
      <c r="W52" s="68"/>
    </row>
    <row r="53" spans="2:23" x14ac:dyDescent="0.3">
      <c r="B53" s="8">
        <v>50</v>
      </c>
      <c r="C53" s="72"/>
      <c r="D53" s="72"/>
      <c r="E53" s="123"/>
      <c r="F53" s="121"/>
      <c r="G53" s="119"/>
      <c r="H53" s="125"/>
      <c r="I53" s="126"/>
      <c r="V53" s="71">
        <v>385</v>
      </c>
      <c r="W53" s="71"/>
    </row>
    <row r="54" spans="2:23" x14ac:dyDescent="0.3">
      <c r="B54" s="8">
        <v>51</v>
      </c>
      <c r="C54" s="72"/>
      <c r="D54" s="127"/>
      <c r="E54" s="123"/>
      <c r="F54" s="121"/>
      <c r="G54" s="119"/>
      <c r="H54" s="125"/>
      <c r="I54" s="126"/>
      <c r="V54" s="128"/>
      <c r="W54" s="128"/>
    </row>
    <row r="55" spans="2:23" x14ac:dyDescent="0.3">
      <c r="B55" s="8">
        <v>52</v>
      </c>
      <c r="C55" s="72"/>
      <c r="D55" s="127"/>
      <c r="E55" s="123"/>
      <c r="F55" s="121"/>
      <c r="G55" s="119"/>
      <c r="H55" s="125"/>
      <c r="I55" s="126"/>
      <c r="V55" s="128"/>
      <c r="W55" s="128"/>
    </row>
    <row r="56" spans="2:23" x14ac:dyDescent="0.3">
      <c r="B56" s="8">
        <v>53</v>
      </c>
      <c r="C56" s="72"/>
      <c r="D56" s="127"/>
      <c r="E56" s="123"/>
      <c r="F56" s="121"/>
      <c r="G56" s="119"/>
      <c r="H56" s="125"/>
      <c r="I56" s="126"/>
      <c r="V56" s="128"/>
      <c r="W56" s="128"/>
    </row>
    <row r="57" spans="2:23" x14ac:dyDescent="0.3">
      <c r="B57" s="8">
        <v>54</v>
      </c>
      <c r="C57" s="72"/>
      <c r="D57" s="127"/>
      <c r="E57" s="123"/>
      <c r="F57" s="121"/>
      <c r="G57" s="119"/>
      <c r="H57" s="125"/>
      <c r="I57" s="126"/>
      <c r="V57" s="128"/>
      <c r="W57" s="128"/>
    </row>
    <row r="58" spans="2:23" x14ac:dyDescent="0.3">
      <c r="B58" s="8">
        <v>55</v>
      </c>
      <c r="C58" s="72"/>
      <c r="D58" s="127"/>
      <c r="E58" s="123"/>
      <c r="F58" s="121"/>
      <c r="G58" s="119"/>
      <c r="H58" s="125"/>
      <c r="I58" s="126"/>
      <c r="V58" s="128"/>
      <c r="W58" s="128"/>
    </row>
    <row r="59" spans="2:23" x14ac:dyDescent="0.3">
      <c r="B59" s="8">
        <v>56</v>
      </c>
      <c r="C59" s="72"/>
      <c r="D59" s="127"/>
      <c r="E59" s="123"/>
      <c r="F59" s="121"/>
      <c r="G59" s="119"/>
      <c r="H59" s="125"/>
      <c r="I59" s="126"/>
      <c r="V59" s="128"/>
      <c r="W59" s="128"/>
    </row>
    <row r="60" spans="2:23" x14ac:dyDescent="0.3">
      <c r="B60" s="8">
        <v>57</v>
      </c>
      <c r="C60" s="72"/>
      <c r="D60" s="127"/>
      <c r="E60" s="123"/>
      <c r="F60" s="121"/>
      <c r="G60" s="119"/>
      <c r="H60" s="125"/>
      <c r="I60" s="126"/>
      <c r="V60" s="128"/>
      <c r="W60" s="128"/>
    </row>
    <row r="61" spans="2:23" x14ac:dyDescent="0.3">
      <c r="B61" s="8">
        <v>58</v>
      </c>
      <c r="C61" s="72"/>
      <c r="D61" s="127"/>
      <c r="E61" s="123"/>
      <c r="F61" s="121"/>
      <c r="G61" s="119"/>
      <c r="H61" s="125"/>
      <c r="I61" s="126"/>
      <c r="V61" s="128"/>
      <c r="W61" s="128"/>
    </row>
    <row r="62" spans="2:23" x14ac:dyDescent="0.3">
      <c r="B62" s="8">
        <v>59</v>
      </c>
      <c r="C62" s="72"/>
      <c r="D62" s="127"/>
      <c r="E62" s="123"/>
      <c r="F62" s="121"/>
      <c r="G62" s="119"/>
      <c r="H62" s="125"/>
      <c r="I62" s="126"/>
      <c r="V62" s="128"/>
      <c r="W62" s="128"/>
    </row>
    <row r="63" spans="2:23" x14ac:dyDescent="0.3">
      <c r="B63" s="8">
        <v>60</v>
      </c>
      <c r="C63" s="72"/>
      <c r="D63" s="127"/>
      <c r="E63" s="123"/>
      <c r="F63" s="121"/>
      <c r="G63" s="119"/>
      <c r="H63" s="125"/>
      <c r="I63" s="126"/>
      <c r="V63" s="128"/>
      <c r="W63" s="128"/>
    </row>
    <row r="64" spans="2:23" x14ac:dyDescent="0.3">
      <c r="B64" s="8">
        <v>61</v>
      </c>
      <c r="C64" s="72"/>
      <c r="D64" s="127"/>
      <c r="E64" s="123"/>
      <c r="F64" s="121"/>
      <c r="G64" s="119"/>
      <c r="H64" s="125"/>
      <c r="I64" s="126"/>
      <c r="V64" s="128"/>
      <c r="W64" s="128"/>
    </row>
    <row r="65" spans="2:23" x14ac:dyDescent="0.3">
      <c r="B65" s="8">
        <v>62</v>
      </c>
      <c r="C65" s="72"/>
      <c r="D65" s="127"/>
      <c r="E65" s="123"/>
      <c r="F65" s="121"/>
      <c r="G65" s="119"/>
      <c r="H65" s="125"/>
      <c r="I65" s="126"/>
      <c r="V65" s="128"/>
      <c r="W65" s="128"/>
    </row>
    <row r="66" spans="2:23" x14ac:dyDescent="0.3">
      <c r="B66" s="8"/>
      <c r="C66" s="72"/>
      <c r="D66" s="127"/>
      <c r="E66" s="123"/>
      <c r="F66" s="121"/>
      <c r="G66" s="119"/>
      <c r="H66" s="125"/>
      <c r="I66" s="126"/>
      <c r="V66" s="128"/>
      <c r="W66" s="128"/>
    </row>
    <row r="67" spans="2:23" x14ac:dyDescent="0.3">
      <c r="B67" s="8"/>
      <c r="C67" s="72"/>
      <c r="D67" s="127"/>
      <c r="E67" s="123"/>
      <c r="F67" s="121"/>
      <c r="G67" s="119"/>
      <c r="H67" s="125"/>
      <c r="I67" s="126"/>
      <c r="V67" s="128"/>
      <c r="W67" s="128"/>
    </row>
    <row r="68" spans="2:23" x14ac:dyDescent="0.3">
      <c r="B68" s="8"/>
      <c r="C68" s="72"/>
      <c r="D68" s="127"/>
      <c r="E68" s="123"/>
      <c r="F68" s="121"/>
      <c r="G68" s="119"/>
      <c r="H68" s="125"/>
      <c r="I68" s="126"/>
      <c r="V68" s="128"/>
      <c r="W68" s="128"/>
    </row>
    <row r="69" spans="2:23" x14ac:dyDescent="0.3">
      <c r="B69" s="8"/>
      <c r="C69" s="72"/>
      <c r="D69" s="127"/>
      <c r="E69" s="123"/>
      <c r="F69" s="121"/>
      <c r="G69" s="119"/>
      <c r="H69" s="125"/>
      <c r="I69" s="126"/>
      <c r="V69" s="128"/>
      <c r="W69" s="128"/>
    </row>
    <row r="70" spans="2:23" x14ac:dyDescent="0.3">
      <c r="B70" s="8"/>
      <c r="C70" s="72"/>
      <c r="D70" s="127"/>
      <c r="E70" s="123"/>
      <c r="F70" s="121"/>
      <c r="G70" s="119"/>
      <c r="H70" s="125" t="s">
        <v>25</v>
      </c>
      <c r="I70" s="126"/>
      <c r="V70" s="128"/>
      <c r="W70" s="128"/>
    </row>
    <row r="71" spans="2:23" x14ac:dyDescent="0.3">
      <c r="B71" s="8"/>
      <c r="C71" s="72"/>
      <c r="D71" s="127"/>
      <c r="E71" s="123"/>
      <c r="F71" s="121"/>
      <c r="G71" s="119"/>
      <c r="H71" s="125"/>
      <c r="I71" s="126"/>
      <c r="V71" s="128"/>
      <c r="W71" s="128"/>
    </row>
    <row r="72" spans="2:23" ht="19.5" thickBot="1" x14ac:dyDescent="0.35">
      <c r="B72" s="129"/>
      <c r="C72" s="127"/>
      <c r="D72" s="127"/>
      <c r="E72" s="123"/>
      <c r="F72" s="121"/>
      <c r="H72" s="125"/>
      <c r="I72" s="126"/>
      <c r="V72" s="128"/>
      <c r="W72" s="128"/>
    </row>
    <row r="73" spans="2:23" x14ac:dyDescent="0.3">
      <c r="B73" s="60" t="s">
        <v>9</v>
      </c>
      <c r="C73" s="130">
        <f>SUM(C4:C72)</f>
        <v>0</v>
      </c>
      <c r="D73" s="130">
        <f>SUM(D4:D72)</f>
        <v>0</v>
      </c>
      <c r="E73" s="131"/>
      <c r="F73" s="77"/>
    </row>
    <row r="74" spans="2:23" ht="19.5" thickBot="1" x14ac:dyDescent="0.35">
      <c r="D74" s="2"/>
      <c r="F74" s="132"/>
      <c r="G74" s="119" t="s">
        <v>10</v>
      </c>
      <c r="J74" s="77"/>
    </row>
    <row r="75" spans="2:23" ht="19.5" thickBot="1" x14ac:dyDescent="0.35">
      <c r="B75" s="133" t="s">
        <v>26</v>
      </c>
      <c r="C75" s="134">
        <v>1816758</v>
      </c>
      <c r="D75" s="135"/>
      <c r="E75" s="134"/>
      <c r="F75" s="136" t="s">
        <v>27</v>
      </c>
      <c r="G75" s="119"/>
      <c r="K75" s="77"/>
    </row>
    <row r="76" spans="2:23" ht="19.5" thickBot="1" x14ac:dyDescent="0.35">
      <c r="D76" s="2"/>
      <c r="K76" s="122"/>
    </row>
    <row r="77" spans="2:23" ht="19.5" thickBot="1" x14ac:dyDescent="0.35">
      <c r="B77" s="137" t="s">
        <v>28</v>
      </c>
      <c r="C77" s="132">
        <v>507937</v>
      </c>
      <c r="D77" s="132"/>
      <c r="E77" s="132">
        <v>508873</v>
      </c>
      <c r="F77" s="138"/>
      <c r="G77" s="77"/>
      <c r="H77" s="139"/>
      <c r="I77" s="140"/>
    </row>
    <row r="78" spans="2:23" ht="19.5" thickBot="1" x14ac:dyDescent="0.35">
      <c r="B78" s="137" t="s">
        <v>29</v>
      </c>
      <c r="C78" s="141">
        <f>Table214258112026243135394347515559636771757983879195991041091141191241291341391441541591691641741791841891991931972052092132172212252292332372412452492532572612652692732772812852892932973013053093133173213253293333373413453493533573613653693733773813122[[#Totals],[RECEIPT]]-C77</f>
        <v>-507937</v>
      </c>
      <c r="E78" s="141">
        <f>Table214258112026243135394347515559636771757983879195991041091141191241291341391441541591691641741791841891991931972052092132172212252292332372412452492532572612652692732772812852892932973013053093133173213253293333373413453493533573613653693733773813122[[#Totals],[PAYMENT]]-E77</f>
        <v>-508873</v>
      </c>
      <c r="G78" s="142" t="s">
        <v>30</v>
      </c>
      <c r="H78" s="143"/>
      <c r="I78" s="143"/>
      <c r="J78" s="143"/>
      <c r="K78" s="144"/>
    </row>
    <row r="79" spans="2:23" ht="19.5" thickBot="1" x14ac:dyDescent="0.35">
      <c r="C79" s="145"/>
      <c r="E79" s="145"/>
      <c r="F79" s="115"/>
      <c r="G79" s="142" t="s">
        <v>31</v>
      </c>
      <c r="H79" s="143"/>
      <c r="I79" s="143"/>
      <c r="J79" s="143"/>
      <c r="K79" s="144"/>
    </row>
    <row r="80" spans="2:23" ht="19.5" customHeight="1" thickBot="1" x14ac:dyDescent="0.35">
      <c r="B80" s="137" t="s">
        <v>32</v>
      </c>
      <c r="C80" s="132">
        <v>1815822</v>
      </c>
      <c r="D80" s="138"/>
      <c r="F80" s="108"/>
      <c r="G80" s="146"/>
      <c r="H80" s="147"/>
      <c r="I80" s="147"/>
      <c r="J80" s="147"/>
      <c r="K80" s="148"/>
      <c r="L80" s="35"/>
    </row>
    <row r="81" spans="2:13" ht="19.5" thickBot="1" x14ac:dyDescent="0.35">
      <c r="B81" s="149" t="s">
        <v>33</v>
      </c>
      <c r="C81" s="150">
        <f>C75+C77-E77</f>
        <v>1815822</v>
      </c>
      <c r="D81" s="151" t="s">
        <v>34</v>
      </c>
      <c r="E81" s="152">
        <f>Table461647101322285303438424650545862667074788286909498102107112117122127132137142147157162172167177182187192202196204208212216220224228232236240244248252256260264268272276280284288292296300304308312316320324328332336340344348352356360364368372376380123[[#Totals],[TOTAL]]</f>
        <v>3011764</v>
      </c>
      <c r="G81" s="153"/>
      <c r="H81" s="154"/>
      <c r="I81" s="154"/>
      <c r="J81" s="154"/>
      <c r="K81" s="155"/>
    </row>
    <row r="82" spans="2:13" ht="24" thickBot="1" x14ac:dyDescent="0.35">
      <c r="C82" s="156"/>
      <c r="F82" s="69"/>
      <c r="G82" s="153"/>
      <c r="H82" s="154"/>
      <c r="I82" s="154"/>
      <c r="J82" s="154"/>
      <c r="K82" s="155"/>
    </row>
    <row r="83" spans="2:13" ht="19.5" thickBot="1" x14ac:dyDescent="0.35">
      <c r="B83" s="137" t="s">
        <v>29</v>
      </c>
      <c r="C83" s="141">
        <f>C80-C81</f>
        <v>0</v>
      </c>
      <c r="D83" s="1" t="s">
        <v>10</v>
      </c>
      <c r="E83" s="157">
        <f>C81-E81</f>
        <v>-1195942</v>
      </c>
      <c r="F83" s="158"/>
      <c r="G83" s="153"/>
      <c r="H83" s="154"/>
      <c r="I83" s="154"/>
      <c r="J83" s="154"/>
      <c r="K83" s="155"/>
      <c r="M83" s="77"/>
    </row>
    <row r="84" spans="2:13" ht="18.75" customHeight="1" thickBot="1" x14ac:dyDescent="0.35">
      <c r="C84" s="137"/>
      <c r="E84" s="159"/>
      <c r="F84" s="160"/>
      <c r="G84" s="161"/>
      <c r="H84" s="162"/>
      <c r="I84" s="162"/>
      <c r="J84" s="162"/>
      <c r="K84" s="163"/>
    </row>
    <row r="85" spans="2:13" ht="18.75" customHeight="1" x14ac:dyDescent="0.3">
      <c r="C85" s="164"/>
      <c r="D85" s="165" t="str">
        <f>IF(E83&lt;0,"EXESS AMOUNT","")</f>
        <v>EXESS AMOUNT</v>
      </c>
      <c r="E85" s="166"/>
    </row>
    <row r="86" spans="2:13" ht="42" customHeight="1" x14ac:dyDescent="0.3">
      <c r="B86" s="167"/>
      <c r="C86" s="168"/>
      <c r="D86" s="169" t="str">
        <f>IF(E83=0,"TALLY","")</f>
        <v/>
      </c>
      <c r="E86" s="170"/>
    </row>
    <row r="87" spans="2:13" ht="19.5" customHeight="1" thickBot="1" x14ac:dyDescent="0.35">
      <c r="C87" s="168"/>
      <c r="D87" s="171" t="str">
        <f>IF(E83&gt;0,"SHORT AMOUNT","")</f>
        <v/>
      </c>
      <c r="E87" s="170"/>
      <c r="H87" s="172" t="s">
        <v>35</v>
      </c>
      <c r="I87" s="13"/>
    </row>
    <row r="88" spans="2:13" ht="19.5" customHeight="1" thickBot="1" x14ac:dyDescent="0.35">
      <c r="C88" s="173"/>
      <c r="E88" s="174"/>
      <c r="F88" s="108"/>
      <c r="H88" s="175" t="s">
        <v>36</v>
      </c>
      <c r="I88" s="176"/>
    </row>
    <row r="89" spans="2:13" ht="27" customHeight="1" thickBot="1" x14ac:dyDescent="0.35">
      <c r="C89" s="177"/>
      <c r="D89" s="178" t="s">
        <v>37</v>
      </c>
      <c r="E89" s="179">
        <v>2</v>
      </c>
      <c r="H89" s="180" t="s">
        <v>38</v>
      </c>
      <c r="I89" s="181"/>
    </row>
    <row r="90" spans="2:13" ht="45" customHeight="1" thickBot="1" x14ac:dyDescent="0.35">
      <c r="C90" s="182"/>
      <c r="D90" s="183" t="e">
        <f>#REF!</f>
        <v>#REF!</v>
      </c>
      <c r="E90" s="182" t="s">
        <v>9</v>
      </c>
      <c r="F90" s="184"/>
      <c r="H90" s="175" t="s">
        <v>39</v>
      </c>
      <c r="I90" s="176"/>
    </row>
    <row r="91" spans="2:13" x14ac:dyDescent="0.3">
      <c r="F91" s="185"/>
      <c r="H91" s="175" t="s">
        <v>40</v>
      </c>
      <c r="I91" s="176"/>
    </row>
    <row r="92" spans="2:13" x14ac:dyDescent="0.3">
      <c r="F92" s="186"/>
      <c r="H92" s="175" t="s">
        <v>41</v>
      </c>
      <c r="I92" s="176"/>
    </row>
    <row r="93" spans="2:13" x14ac:dyDescent="0.3">
      <c r="F93" s="187"/>
      <c r="H93" s="188" t="s">
        <v>42</v>
      </c>
      <c r="I93" s="176"/>
    </row>
    <row r="94" spans="2:13" x14ac:dyDescent="0.3">
      <c r="D94" s="108"/>
      <c r="E94" s="108"/>
      <c r="H94" s="1" t="s">
        <v>43</v>
      </c>
      <c r="I94" s="181"/>
    </row>
    <row r="95" spans="2:13" ht="19.5" thickBot="1" x14ac:dyDescent="0.35">
      <c r="C95" s="1" t="s">
        <v>44</v>
      </c>
      <c r="H95" s="1" t="s">
        <v>45</v>
      </c>
      <c r="I95" s="189"/>
    </row>
    <row r="96" spans="2:13" ht="19.5" thickBot="1" x14ac:dyDescent="0.35">
      <c r="C96" s="1" t="s">
        <v>46</v>
      </c>
      <c r="D96" s="1">
        <v>18640</v>
      </c>
      <c r="G96" s="190"/>
      <c r="H96" s="191" t="s">
        <v>9</v>
      </c>
      <c r="I96" s="189">
        <f>SUM(I88:I95)</f>
        <v>0</v>
      </c>
    </row>
    <row r="97" spans="1:9" x14ac:dyDescent="0.3">
      <c r="C97" s="1" t="s">
        <v>42</v>
      </c>
      <c r="D97" s="77">
        <v>3462</v>
      </c>
      <c r="G97" s="190"/>
      <c r="H97" s="192" t="s">
        <v>9</v>
      </c>
      <c r="I97" s="193"/>
    </row>
    <row r="98" spans="1:9" ht="19.5" thickBot="1" x14ac:dyDescent="0.35">
      <c r="C98" s="1" t="s">
        <v>37</v>
      </c>
      <c r="E98" s="101"/>
      <c r="G98" s="190"/>
      <c r="H98" s="194"/>
      <c r="I98" s="193"/>
    </row>
    <row r="99" spans="1:9" x14ac:dyDescent="0.3">
      <c r="C99" s="77" t="s">
        <v>47</v>
      </c>
      <c r="D99" s="1">
        <f>D96+D97+D98</f>
        <v>22102</v>
      </c>
    </row>
    <row r="104" spans="1:9" x14ac:dyDescent="0.3">
      <c r="D104" s="195"/>
    </row>
    <row r="105" spans="1:9" x14ac:dyDescent="0.3">
      <c r="A105" s="1">
        <f>++'[1]11.11.2025'!$H$74</f>
        <v>0</v>
      </c>
    </row>
    <row r="141" spans="4:4" x14ac:dyDescent="0.3">
      <c r="D141" s="77"/>
    </row>
  </sheetData>
  <mergeCells count="15">
    <mergeCell ref="F91:F93"/>
    <mergeCell ref="H97:H98"/>
    <mergeCell ref="R26:T26"/>
    <mergeCell ref="R27:T28"/>
    <mergeCell ref="G78:K78"/>
    <mergeCell ref="G79:K79"/>
    <mergeCell ref="G80:K84"/>
    <mergeCell ref="C85:C88"/>
    <mergeCell ref="E85:E88"/>
    <mergeCell ref="B2:D2"/>
    <mergeCell ref="F4:H4"/>
    <mergeCell ref="J4:M4"/>
    <mergeCell ref="F20:H20"/>
    <mergeCell ref="J22:L22"/>
    <mergeCell ref="N22:P22"/>
  </mergeCells>
  <conditionalFormatting sqref="C81">
    <cfRule type="top10" dxfId="68" priority="1" percent="1" rank="10"/>
  </conditionalFormatting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2026-02-27T10:39:17Z</dcterms:created>
  <dcterms:modified xsi:type="dcterms:W3CDTF">2026-02-27T10:39:52Z</dcterms:modified>
</cp:coreProperties>
</file>